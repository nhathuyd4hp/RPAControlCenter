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drawings/drawing3.xml" ContentType="application/vnd.openxmlformats-officedocument.drawing+xml"/>
  <Override PartName="/xl/ctrlProps/ctrlProp1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628" codeName="{60716B99-48EF-4627-542C-1B4CF24DBC83}"/>
  <workbookPr codeName="ThisWorkbook"/>
  <mc:AlternateContent xmlns:mc="http://schemas.openxmlformats.org/markup-compatibility/2006">
    <mc:Choice Requires="x15">
      <x15ac:absPath xmlns:x15ac="http://schemas.microsoft.com/office/spreadsheetml/2010/11/ac" url="C:\TUYET\"/>
    </mc:Choice>
  </mc:AlternateContent>
  <xr:revisionPtr revIDLastSave="0" documentId="13_ncr:1_{A6FFF173-2AFD-4E23-B600-AE8EE6D771C7}" xr6:coauthVersionLast="47" xr6:coauthVersionMax="47" xr10:uidLastSave="{00000000-0000-0000-0000-000000000000}"/>
  <bookViews>
    <workbookView xWindow="23880" yWindow="-120" windowWidth="24240" windowHeight="13140" xr2:uid="{00000000-000D-0000-FFFF-FFFF00000000}"/>
  </bookViews>
  <sheets>
    <sheet name="振り分け用" sheetId="1" r:id="rId1"/>
    <sheet name="色付けビルダーリスト" sheetId="6" r:id="rId2"/>
    <sheet name="Sheet2" sheetId="2" r:id="rId3"/>
    <sheet name="データベース" sheetId="3" r:id="rId4"/>
    <sheet name="未アップ記録" sheetId="4" r:id="rId5"/>
    <sheet name="Sheet1" sheetId="5" r:id="rId6"/>
  </sheets>
  <definedNames>
    <definedName name="_xlnm._FilterDatabase" localSheetId="2" hidden="1">Sheet2!$E$1:$E$1000</definedName>
    <definedName name="_xlnm._FilterDatabase" localSheetId="0" hidden="1">振り分け用!$A$1:$C$282</definedName>
    <definedName name="_xlnm._FilterDatabase" localSheetId="4" hidden="1">未アップ記録!$A$1:$F$1</definedName>
    <definedName name="AllItems.aspx?slrid_212f689e_2Dd05c_2D5000_2Dd99e_2Dc01b3ab39bd9_RootFolder__2Fsites_2Fnsk_2FDocLib4_2F_E3_82_BF_E3_83_9E_E3_83_9B_E3_83_BC_E3_83_A0_2F74674_20_E9_AB_99_E6_A9_8B_20_E7_AB_A0_E5_8F_8B" localSheetId="2">Sheet2!$AM$2:$AM$53</definedName>
    <definedName name="AllItems.aspx?slrid_212f689e_2Dd05c_2D5000_2Dd99e_2Dc01b3ab39bd9_RootFolder__2Fsites_2Fnsk_2FDocLib4_2F_E3_82_BF_E3_83_9E_E3_83_9B_E3_83_BC_E3_83_A0_2F74674_20_E9_AB_99_E6_A9_8B_20_E7_AB_A0_E5_8F_8B_4" localSheetId="2">Sheet2!$AM$2:$AM$53</definedName>
    <definedName name="AllItems.aspx?slrid_212f689e_2Dd05c_2D5000_2Dd99e_2Dc01b3ab39bd9_RootFolder__2Fsites_2Fnsk_2FDocLib4_2F_E3_82_BF_E3_83_9E_E3_83_9B_E3_83_BC_E3_83_A0_2F74674_20_E9_AB_99_E6_A9_8B_20_E7_AB_A0_E5_8F_8B_5" localSheetId="2">Sheet2!$AM$2:$AM$53</definedName>
    <definedName name="AllItems.aspx?slrid_212f689e_2Dd05c_2D5000_2Dd99e_2Dc01b3ab39bd9_RootFolder__2Fsites_2Fnsk_2FDocLib4_2F_E3_82_BF_E3_83_9E_E3_83_9B_E3_83_BC_E3_83_A0_2F74674_20_E9_AB_99_E6_A9_8B_20_E7_AB_A0_E5_8F_8B_6" localSheetId="2">Sheet2!$AM$2:$AM$53</definedName>
    <definedName name="AllItems.aspx?slrid_212f689e_2Dd05c_2D5000_2Dd99e_2Dc01b3ab39bd9_RootFolder__2Fsites_2Fnsk_2FDocLib4_2F_E3_82_BF_E3_83_9E_E3_83_9B_E3_83_BC_E3_83_A0_2F74674_20_E9_AB_99_E6_A9_8B_20_E7_AB_A0_E5_8F_8B_7" localSheetId="2">Sheet2!$AM$2:$AM$53</definedName>
    <definedName name="AllItems.aspx?slrid_212f689e_2Dd05c_2D5000_2Dd99e_2Dc01b3ab39bd9_RootFolder__2Fsites_2Fnsk_2FDocLib4_2F_E3_82_BF_E3_83_9E_E3_83_9B_E3_83_BC_E3_83_A0_2F74674_20_E9_AB_99_E6_A9_8B_20_E7_AB_A0_E5_8F_8B_8" localSheetId="2">Sheet2!$AM$2:$AM$53</definedName>
    <definedName name="anken">#REF!</definedName>
    <definedName name="data">#REF!</definedName>
    <definedName name="name">Sheet2!$E:$E</definedName>
    <definedName name="Z_1F94D349_39AA_4577_8915_6735D7B45D95_.wvu.FilterData" localSheetId="2" hidden="1">Sheet2!$E$1:$E$500</definedName>
    <definedName name="Z_1F94D349_39AA_4577_8915_6735D7B45D95_.wvu.FilterData" localSheetId="0" hidden="1">振り分け用!$I$1:$M$1</definedName>
    <definedName name="Z_1F94D349_39AA_4577_8915_6735D7B45D95_.wvu.FilterData" localSheetId="4" hidden="1">未アップ記録!$A$1:$F$1</definedName>
  </definedNames>
  <calcPr calcId="191029"/>
  <customWorkbookViews>
    <customWorkbookView name="柳瀬英貴 - 個人用ビュー" guid="{1F94D349-39AA-4577-8915-6735D7B45D95}" mergeInterval="0" personalView="1" maximized="1" xWindow="-8" yWindow="-8" windowWidth="1936" windowHeight="1056" activeSheetId="1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D17" i="2" l="1"/>
  <c r="AD16" i="2"/>
  <c r="AD15" i="2"/>
  <c r="AD14" i="2"/>
  <c r="AD13" i="2"/>
  <c r="AD12" i="2"/>
  <c r="AD11" i="2"/>
  <c r="AD10" i="2"/>
  <c r="AD9" i="2"/>
  <c r="AD8" i="2"/>
  <c r="AD7" i="2"/>
  <c r="AD6" i="2"/>
  <c r="AD5" i="2"/>
  <c r="AD4" i="2"/>
  <c r="AD3" i="2"/>
  <c r="AD2" i="2"/>
  <c r="G7" i="1"/>
  <c r="N69" i="1" l="1"/>
  <c r="N72" i="1"/>
  <c r="N19" i="1"/>
  <c r="N33" i="1"/>
  <c r="N35" i="1"/>
  <c r="N21" i="1"/>
  <c r="N39" i="1"/>
  <c r="N24" i="1"/>
  <c r="N58" i="1"/>
  <c r="N61" i="1"/>
  <c r="N84" i="1"/>
  <c r="N86" i="1"/>
  <c r="N63" i="1"/>
  <c r="N28" i="1"/>
  <c r="N29" i="1"/>
  <c r="N30" i="1"/>
  <c r="N15" i="1"/>
  <c r="N16" i="1"/>
  <c r="N55" i="1"/>
  <c r="N79" i="1"/>
  <c r="N83" i="1"/>
  <c r="N90" i="1"/>
  <c r="N65" i="1"/>
  <c r="N70" i="1"/>
  <c r="N73" i="1"/>
  <c r="N74" i="1"/>
  <c r="N34" i="1"/>
  <c r="N36" i="1"/>
  <c r="N22" i="1"/>
  <c r="N40" i="1"/>
  <c r="N25" i="1"/>
  <c r="N2" i="1"/>
  <c r="N62" i="1"/>
  <c r="N85" i="1"/>
  <c r="N43" i="1"/>
  <c r="N3" i="1"/>
  <c r="N46" i="1"/>
  <c r="N47" i="1"/>
  <c r="N7" i="1"/>
  <c r="N50" i="1"/>
  <c r="N52" i="1"/>
  <c r="N56" i="1"/>
  <c r="N80" i="1"/>
  <c r="N87" i="1"/>
  <c r="N64" i="1"/>
  <c r="N67" i="1"/>
  <c r="N71" i="1"/>
  <c r="N18" i="1"/>
  <c r="N32" i="1"/>
  <c r="N76" i="1"/>
  <c r="N20" i="1"/>
  <c r="N38" i="1"/>
  <c r="N42" i="1"/>
  <c r="N57" i="1"/>
  <c r="N60" i="1"/>
  <c r="N11" i="1"/>
  <c r="N13" i="1"/>
  <c r="N45" i="1"/>
  <c r="N27" i="1"/>
  <c r="N6" i="1"/>
  <c r="N49" i="1"/>
  <c r="N14" i="1"/>
  <c r="N9" i="1"/>
  <c r="N54" i="1"/>
  <c r="N78" i="1"/>
  <c r="N82" i="1"/>
  <c r="N89" i="1"/>
  <c r="N66" i="1"/>
  <c r="N68" i="1"/>
  <c r="N17" i="1"/>
  <c r="N31" i="1"/>
  <c r="N75" i="1"/>
  <c r="N37" i="1"/>
  <c r="N23" i="1"/>
  <c r="N41" i="1"/>
  <c r="N26" i="1"/>
  <c r="N59" i="1"/>
  <c r="N10" i="1"/>
  <c r="N12" i="1"/>
  <c r="N44" i="1"/>
  <c r="N4" i="1"/>
  <c r="N5" i="1"/>
  <c r="N48" i="1"/>
  <c r="N8" i="1"/>
  <c r="N51" i="1"/>
  <c r="N53" i="1"/>
  <c r="N77" i="1"/>
  <c r="N81" i="1"/>
  <c r="N88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柳瀬英貴</author>
  </authors>
  <commentList>
    <comment ref="C1" authorId="0" shapeId="0" xr:uid="{00000000-0006-0000-00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チルマレ:N/Aになっているセルは無いか、確認してください！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G1" authorId="0" shapeId="0" xr:uid="{00000000-0006-0000-0000-000002000000}">
      <text>
        <r>
          <rPr>
            <b/>
            <sz val="9"/>
            <color indexed="81"/>
            <rFont val="ＭＳ Ｐゴシック"/>
            <family val="3"/>
            <charset val="128"/>
          </rPr>
          <t>チルマレ:データを集めているフォルダーの場所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F5" authorId="0" shapeId="0" xr:uid="{00000000-0006-0000-0000-000003000000}">
      <text>
        <r>
          <rPr>
            <b/>
            <sz val="9"/>
            <color indexed="81"/>
            <rFont val="ＭＳ Ｐゴシック"/>
            <family val="3"/>
            <charset val="128"/>
          </rPr>
          <t>チルマレ:データを集めているフォルダーの場所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G7" authorId="0" shapeId="0" xr:uid="{00000000-0006-0000-0000-000004000000}">
      <text>
        <r>
          <rPr>
            <b/>
            <sz val="9"/>
            <color indexed="81"/>
            <rFont val="ＭＳ Ｐゴシック"/>
            <family val="3"/>
            <charset val="128"/>
          </rPr>
          <t>:振り分けするデータと配車表が合っているか確認してください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54B940A-FD89-4B2D-971A-BD4F862279EB}" name="接続1" type="4" refreshedVersion="4" background="1" saveData="1">
    <webPr sourceData="1" parsePre="1" consecutive="1" xl2000="1" url="https://nskkogyo.sharepoint.com/sites/nsk/DocLib4/Forms/AllItems.aspx?slrid=212f689e%2Dd05c%2D5000%2Dd99e%2Dc01b3ab39bd9&amp;RootFolder=%2Fsites%2Fnsk%2FDocLib4%2F%E3%82%BF%E3%83%9E%E3%83%9B%E3%83%BC%E3%83%A0%2F74674%20%E9%AB%99%E6%A9%8B%20%E7%AB%A0%E5%8F%8B%E6%A7%98%E9%82%B8&amp;FolderCTID=0x012000412913FFAC6C0F499DE5A76456E8618F"/>
  </connection>
  <connection id="2" xr16:uid="{E789EF2A-2481-40E4-B836-2067633C01E6}" name="接続11" type="4" refreshedVersion="4" background="1" saveData="1">
    <webPr sourceData="1" parsePre="1" consecutive="1" xl2000="1" url="https://nskkogyo.sharepoint.com/sites/nsk/DocLib4/Forms/AllItems.aspx?slrid=212f689e%2Dd05c%2D5000%2Dd99e%2Dc01b3ab39bd9&amp;RootFolder=%2Fsites%2Fnsk%2FDocLib4%2F%E3%82%BF%E3%83%9E%E3%83%9B%E3%83%BC%E3%83%A0%2F74674%20%E9%AB%99%E6%A9%8B%20%E7%AB%A0%E5%8F%8B%E6%A7%98%E9%82%B8&amp;FolderCTID=0x012000412913FFAC6C0F499DE5A76456E8618F"/>
  </connection>
  <connection id="3" xr16:uid="{C7F9792B-FBB4-4A2F-9E52-26D66695A22F}" name="接続12" type="4" refreshedVersion="4" background="1" saveData="1">
    <webPr sourceData="1" parsePre="1" consecutive="1" xl2000="1" url="https://nskkogyo.sharepoint.com/sites/nsk/DocLib4/Forms/AllItems.aspx?slrid=212f689e%2Dd05c%2D5000%2Dd99e%2Dc01b3ab39bd9&amp;RootFolder=%2Fsites%2Fnsk%2FDocLib4%2F%E3%82%BF%E3%83%9E%E3%83%9B%E3%83%BC%E3%83%A0%2F74674%20%E9%AB%99%E6%A9%8B%20%E7%AB%A0%E5%8F%8B%E6%A7%98%E9%82%B8&amp;FolderCTID=0x012000412913FFAC6C0F499DE5A76456E8618F"/>
  </connection>
  <connection id="4" xr16:uid="{4A399E54-49B7-403F-A338-9D12146CAA95}" name="接続13" type="4" refreshedVersion="4" background="1" saveData="1">
    <webPr sourceData="1" parsePre="1" consecutive="1" xl2000="1" url="https://nskkogyo.sharepoint.com/sites/nsk/DocLib4/Forms/AllItems.aspx?slrid=212f689e%2Dd05c%2D5000%2Dd99e%2Dc01b3ab39bd9&amp;RootFolder=%2Fsites%2Fnsk%2FDocLib4%2F%E3%82%BF%E3%83%9E%E3%83%9B%E3%83%BC%E3%83%A0%2F74674%20%E9%AB%99%E6%A9%8B%20%E7%AB%A0%E5%8F%8B%E6%A7%98%E9%82%B8&amp;FolderCTID=0x012000412913FFAC6C0F499DE5A76456E8618F"/>
  </connection>
  <connection id="5" xr16:uid="{14E27DA6-17A4-40FF-9345-2D6C7C5D2F92}" name="接続14" type="4" refreshedVersion="4" background="1" saveData="1">
    <webPr sourceData="1" parsePre="1" consecutive="1" xl2000="1" url="https://nskkogyo.sharepoint.com/sites/nsk/DocLib4/Forms/AllItems.aspx?slrid=212f689e%2Dd05c%2D5000%2Dd99e%2Dc01b3ab39bd9&amp;RootFolder=%2Fsites%2Fnsk%2FDocLib4%2F%E3%82%BF%E3%83%9E%E3%83%9B%E3%83%BC%E3%83%A0%2F74674%20%E9%AB%99%E6%A9%8B%20%E7%AB%A0%E5%8F%8B%E6%A7%98%E9%82%B8&amp;FolderCTID=0x012000412913FFAC6C0F499DE5A76456E8618F"/>
  </connection>
  <connection id="6" xr16:uid="{994FC023-13F1-417A-8B1C-B738862EDB28}" name="接続15" type="4" refreshedVersion="4" background="1" saveData="1">
    <webPr sourceData="1" parsePre="1" consecutive="1" xl2000="1" url="https://nskkogyo.sharepoint.com/sites/nsk/DocLib4/Forms/AllItems.aspx?slrid=212f689e%2Dd05c%2D5000%2Dd99e%2Dc01b3ab39bd9&amp;RootFolder=%2Fsites%2Fnsk%2FDocLib4%2F%E3%82%BF%E3%83%9E%E3%83%9B%E3%83%BC%E3%83%A0%2F74674%20%E9%AB%99%E6%A9%8B%20%E7%AB%A0%E5%8F%8B%E6%A7%98%E9%82%B8&amp;FolderCTID=0x012000412913FFAC6C0F499DE5A76456E8618F"/>
  </connection>
</connections>
</file>

<file path=xl/sharedStrings.xml><?xml version="1.0" encoding="utf-8"?>
<sst xmlns="http://schemas.openxmlformats.org/spreadsheetml/2006/main" count="3505" uniqueCount="1202">
  <si>
    <t>タマホーム</t>
  </si>
  <si>
    <t>津田産業</t>
  </si>
  <si>
    <t>ビルダー</t>
    <phoneticPr fontId="2"/>
  </si>
  <si>
    <t>号車</t>
    <phoneticPr fontId="2"/>
  </si>
  <si>
    <t>区分</t>
    <rPh sb="0" eb="2">
      <t>クブン</t>
    </rPh>
    <phoneticPr fontId="2"/>
  </si>
  <si>
    <t>案件名　（未アップデータ）</t>
    <rPh sb="0" eb="3">
      <t>アンケンメイ</t>
    </rPh>
    <rPh sb="5" eb="6">
      <t>ミ</t>
    </rPh>
    <phoneticPr fontId="2"/>
  </si>
  <si>
    <t xml:space="preserve">オリエンタル </t>
    <phoneticPr fontId="2"/>
  </si>
  <si>
    <t>対象日</t>
    <rPh sb="0" eb="3">
      <t>タイショウビ</t>
    </rPh>
    <phoneticPr fontId="2"/>
  </si>
  <si>
    <t xml:space="preserve">ﾌｧｰｽﾄ住建 </t>
    <phoneticPr fontId="2"/>
  </si>
  <si>
    <t>特記事項</t>
    <rPh sb="0" eb="2">
      <t>トッキ</t>
    </rPh>
    <rPh sb="2" eb="4">
      <t>ジコウ</t>
    </rPh>
    <phoneticPr fontId="2"/>
  </si>
  <si>
    <t>一建設</t>
  </si>
  <si>
    <t>秀光ビルド</t>
  </si>
  <si>
    <t>マリンホーム</t>
  </si>
  <si>
    <t>㈱ホーク・ワン</t>
  </si>
  <si>
    <t>ヤマト住建（ナカザワ）</t>
  </si>
  <si>
    <t>積水ハウスノイエ近畿北陸</t>
  </si>
  <si>
    <t>飯田産業</t>
  </si>
  <si>
    <t>創建地所</t>
  </si>
  <si>
    <t>幸福建設</t>
  </si>
  <si>
    <t>アキュラホーム</t>
  </si>
  <si>
    <t>㈱トータテハウジング</t>
  </si>
  <si>
    <t>広島ランバーテック</t>
  </si>
  <si>
    <t>ジャパンアイディアホーム</t>
  </si>
  <si>
    <t xml:space="preserve">オークラプレカットシステム </t>
  </si>
  <si>
    <t xml:space="preserve">ライフデザイン・カバヤ </t>
  </si>
  <si>
    <t>さくら夢ハウス</t>
  </si>
  <si>
    <t>アイ工務店(野原大阪)</t>
  </si>
  <si>
    <t>アイフルホーム</t>
  </si>
  <si>
    <t>住友不動産リフォーム</t>
  </si>
  <si>
    <t>エイワハウジング</t>
  </si>
  <si>
    <t xml:space="preserve">めばえ建築 </t>
  </si>
  <si>
    <t>角建</t>
  </si>
  <si>
    <t xml:space="preserve"> ㈱ホーク・ワン</t>
  </si>
  <si>
    <t>アイ工務店 関西</t>
  </si>
  <si>
    <t>エスワイズ</t>
  </si>
  <si>
    <t>三建</t>
  </si>
  <si>
    <t>かなえるホーム</t>
  </si>
  <si>
    <t>ひまわり</t>
  </si>
  <si>
    <t>ゼロ</t>
  </si>
  <si>
    <t>吉村一</t>
  </si>
  <si>
    <t>ヤマダホームズ</t>
  </si>
  <si>
    <t>ヴェル（Arows）</t>
  </si>
  <si>
    <t>クオレホーム(ジャパン)</t>
  </si>
  <si>
    <t xml:space="preserve">タカケン(キリン木材) </t>
  </si>
  <si>
    <t>高階</t>
  </si>
  <si>
    <t>住友林業イノス</t>
  </si>
  <si>
    <t>紀の国住宅</t>
  </si>
  <si>
    <t>びわこテック</t>
  </si>
  <si>
    <t>敷島住宅</t>
  </si>
  <si>
    <t>結希建設</t>
  </si>
  <si>
    <t>こころ建築工房</t>
  </si>
  <si>
    <t>ミサワ(永博)</t>
  </si>
  <si>
    <t>ミサワ</t>
  </si>
  <si>
    <t>モリシタ</t>
  </si>
  <si>
    <t xml:space="preserve"> 幸福建設</t>
  </si>
  <si>
    <t xml:space="preserve"> 尾崎住宅センター（㈱和協）</t>
  </si>
  <si>
    <t>近鉄不動産（丸産業）</t>
  </si>
  <si>
    <t>フォレストホーム</t>
  </si>
  <si>
    <t>創建(イワイ)</t>
  </si>
  <si>
    <t xml:space="preserve"> 松実木材（㈱和協）</t>
  </si>
  <si>
    <t xml:space="preserve">ダイドーコーポレーション(通商) </t>
  </si>
  <si>
    <t>ブレインリアルエステート</t>
  </si>
  <si>
    <t>プラスワン</t>
  </si>
  <si>
    <t xml:space="preserve"> ステーツ</t>
  </si>
  <si>
    <t>大彦</t>
  </si>
  <si>
    <t xml:space="preserve">創建地所【直販】 </t>
  </si>
  <si>
    <t xml:space="preserve">御浜住宅 </t>
  </si>
  <si>
    <t>ジーニアス建築</t>
  </si>
  <si>
    <t>三洋住宅(タケヤテック)</t>
  </si>
  <si>
    <t>ひらた建築工房</t>
  </si>
  <si>
    <t xml:space="preserve">MELEE </t>
  </si>
  <si>
    <t>松田木材</t>
  </si>
  <si>
    <t xml:space="preserve">デザオ建設 </t>
  </si>
  <si>
    <t>フレック</t>
  </si>
  <si>
    <t>裕成</t>
  </si>
  <si>
    <t>㈱中商</t>
  </si>
  <si>
    <t xml:space="preserve">元気㈱ </t>
  </si>
  <si>
    <t>大長商事</t>
  </si>
  <si>
    <t>匠建枚方</t>
  </si>
  <si>
    <t>アイ建設</t>
  </si>
  <si>
    <t xml:space="preserve">タクトホーム </t>
  </si>
  <si>
    <t>CROUD</t>
  </si>
  <si>
    <t>アイディホーム</t>
  </si>
  <si>
    <t>アーネストワン</t>
  </si>
  <si>
    <t>エルハウジング</t>
  </si>
  <si>
    <t>スズホーム</t>
  </si>
  <si>
    <t>井上工務店</t>
  </si>
  <si>
    <t>国土建設</t>
  </si>
  <si>
    <t>飯田産業 (伊丹)</t>
  </si>
  <si>
    <t>飯田産業 (西宮)</t>
  </si>
  <si>
    <t>ﾌｧｰｽﾄ住建</t>
  </si>
  <si>
    <t>ユニバーサルホーム</t>
  </si>
  <si>
    <t>(株)呉一住宅（中国木材㈱）</t>
  </si>
  <si>
    <t xml:space="preserve"> ヤマダレオハウス </t>
  </si>
  <si>
    <t xml:space="preserve">アイケンジャパン </t>
  </si>
  <si>
    <t xml:space="preserve">南商店   </t>
  </si>
  <si>
    <t>昭和住宅</t>
  </si>
  <si>
    <t>アイダ設計</t>
  </si>
  <si>
    <t xml:space="preserve"> ライフステージ【本社】</t>
  </si>
  <si>
    <t xml:space="preserve">アイ工務店(ナカザワ) </t>
  </si>
  <si>
    <t xml:space="preserve">キノエネ工務店   </t>
  </si>
  <si>
    <t xml:space="preserve">㈱ホーク・ワン  </t>
  </si>
  <si>
    <t xml:space="preserve">南商店  </t>
  </si>
  <si>
    <t xml:space="preserve">大五  </t>
  </si>
  <si>
    <t>富士工務店</t>
  </si>
  <si>
    <t xml:space="preserve">松井建設 </t>
  </si>
  <si>
    <t xml:space="preserve"> (門)</t>
  </si>
  <si>
    <t>キノエネ工務店</t>
  </si>
  <si>
    <t>ディースタジオ</t>
  </si>
  <si>
    <t>ヤマダレオハウス</t>
  </si>
  <si>
    <t xml:space="preserve">大和財託 </t>
  </si>
  <si>
    <t xml:space="preserve">飯田産業 (吹田) </t>
  </si>
  <si>
    <t xml:space="preserve">イシカワ  </t>
  </si>
  <si>
    <t>アクティブ （Bulls）</t>
  </si>
  <si>
    <t>アイ工務店（キリン木材）</t>
  </si>
  <si>
    <t>イシカワ(通商泉北支店)</t>
  </si>
  <si>
    <t xml:space="preserve">ケイアイプランニング株式会社 </t>
  </si>
  <si>
    <t xml:space="preserve">トータテハウジング </t>
  </si>
  <si>
    <t xml:space="preserve">ヤマイチユニハイムエステート </t>
  </si>
  <si>
    <t xml:space="preserve">三和建設  </t>
  </si>
  <si>
    <t xml:space="preserve">小西工務店 </t>
  </si>
  <si>
    <t xml:space="preserve">水谷材木 </t>
  </si>
  <si>
    <t xml:space="preserve"> 一建設 </t>
  </si>
  <si>
    <t xml:space="preserve">sol </t>
  </si>
  <si>
    <t>ひかり住建</t>
  </si>
  <si>
    <t>イシカワ・</t>
  </si>
  <si>
    <t>イシカワ</t>
  </si>
  <si>
    <t xml:space="preserve">ナイスユニテック </t>
  </si>
  <si>
    <t>ヴェルハウジング【駒田製作所】</t>
  </si>
  <si>
    <t xml:space="preserve">日交建設 </t>
  </si>
  <si>
    <t xml:space="preserve">東栄住宅 </t>
  </si>
  <si>
    <t xml:space="preserve">積水ハウスノイエ関西 </t>
  </si>
  <si>
    <t>タクトホーム(大阪)</t>
  </si>
  <si>
    <t>東栄住宅</t>
  </si>
  <si>
    <t>ヴェルハウジング(中塚木材商店)</t>
    <phoneticPr fontId="2"/>
  </si>
  <si>
    <t>村地綜合木材</t>
  </si>
  <si>
    <t>積和北陸</t>
    <phoneticPr fontId="2"/>
  </si>
  <si>
    <t xml:space="preserve">タクトホーム(大阪) </t>
    <phoneticPr fontId="2"/>
  </si>
  <si>
    <t xml:space="preserve">タクトホーム(岡山) </t>
    <phoneticPr fontId="2"/>
  </si>
  <si>
    <t xml:space="preserve">アイディホーム </t>
    <phoneticPr fontId="2"/>
  </si>
  <si>
    <t>タクトホーム</t>
    <phoneticPr fontId="2"/>
  </si>
  <si>
    <t xml:space="preserve">飯田産業 (神戸) </t>
    <rPh sb="6" eb="8">
      <t>コウベ</t>
    </rPh>
    <phoneticPr fontId="2"/>
  </si>
  <si>
    <t>SAKATA</t>
    <phoneticPr fontId="2"/>
  </si>
  <si>
    <t>あんじゅホーム</t>
    <phoneticPr fontId="2"/>
  </si>
  <si>
    <t>コタニ住研</t>
    <phoneticPr fontId="2"/>
  </si>
  <si>
    <t>タカシンホーム</t>
    <phoneticPr fontId="2"/>
  </si>
  <si>
    <t>ヨークベル ヨークタウン</t>
    <phoneticPr fontId="2"/>
  </si>
  <si>
    <t>ヴェルハウジング</t>
    <phoneticPr fontId="2"/>
  </si>
  <si>
    <t>(株)森下技建（岡本銘木店 泉南）</t>
    <phoneticPr fontId="2"/>
  </si>
  <si>
    <t>ミサワホーム近畿</t>
    <phoneticPr fontId="2"/>
  </si>
  <si>
    <t>松実木材（㈱和協）</t>
    <phoneticPr fontId="2"/>
  </si>
  <si>
    <t>町田工務店</t>
    <phoneticPr fontId="2"/>
  </si>
  <si>
    <t>リズムホーム</t>
    <phoneticPr fontId="2"/>
  </si>
  <si>
    <t>タイコーハウジング</t>
    <phoneticPr fontId="2"/>
  </si>
  <si>
    <t>フジ</t>
    <phoneticPr fontId="2"/>
  </si>
  <si>
    <t>アイ工務店（ナカザワ）</t>
    <phoneticPr fontId="2"/>
  </si>
  <si>
    <t>フィット</t>
    <phoneticPr fontId="2"/>
  </si>
  <si>
    <t>フィット(ナカムラ)</t>
    <phoneticPr fontId="2"/>
  </si>
  <si>
    <t>E:\催促配信用\</t>
    <phoneticPr fontId="2"/>
  </si>
  <si>
    <t>印刷</t>
    <rPh sb="0" eb="2">
      <t>インサツ</t>
    </rPh>
    <phoneticPr fontId="2"/>
  </si>
  <si>
    <t>済み</t>
    <rPh sb="0" eb="1">
      <t>ス</t>
    </rPh>
    <phoneticPr fontId="2"/>
  </si>
  <si>
    <t>Google Drive</t>
    <phoneticPr fontId="2"/>
  </si>
  <si>
    <t>アイディホーム (奈良)</t>
    <phoneticPr fontId="2"/>
  </si>
  <si>
    <t>コーキ エクセレンス</t>
  </si>
  <si>
    <t>尾崎住宅センター（㈱和協）</t>
  </si>
  <si>
    <t>クオレ(ジャパン)</t>
    <phoneticPr fontId="2"/>
  </si>
  <si>
    <t>明建ハウス</t>
    <phoneticPr fontId="2"/>
  </si>
  <si>
    <t>柿本工務店</t>
  </si>
  <si>
    <t>積和四国</t>
  </si>
  <si>
    <t>カネマル (アクティブ)</t>
  </si>
  <si>
    <t xml:space="preserve">ハウジングL </t>
  </si>
  <si>
    <t xml:space="preserve">ヤマダホームズ </t>
  </si>
  <si>
    <t xml:space="preserve">アイ工務店 関西 </t>
  </si>
  <si>
    <t>ｸｵﾚ</t>
  </si>
  <si>
    <t xml:space="preserve">クオレ </t>
  </si>
  <si>
    <t>柱</t>
  </si>
  <si>
    <t>森本工務店</t>
  </si>
  <si>
    <t>工藤建設</t>
  </si>
  <si>
    <t>ゼロ・コーポレーション</t>
  </si>
  <si>
    <t>国松工務店</t>
  </si>
  <si>
    <t xml:space="preserve">御浜建設(かつら木材センター) </t>
  </si>
  <si>
    <t>揚田工務店</t>
  </si>
  <si>
    <t>ルーフホーム</t>
  </si>
  <si>
    <t xml:space="preserve">ヴェルハウジング（Arows） </t>
  </si>
  <si>
    <t>南商店</t>
  </si>
  <si>
    <t xml:space="preserve">タイコーハウジング  </t>
  </si>
  <si>
    <t xml:space="preserve">石井ホーム </t>
  </si>
  <si>
    <t xml:space="preserve">積和関西 </t>
  </si>
  <si>
    <t>中国木材㈱</t>
    <phoneticPr fontId="2"/>
  </si>
  <si>
    <t>DESIGN BASE</t>
  </si>
  <si>
    <t>ヴェルハウジング（Arows）</t>
  </si>
  <si>
    <t>ケイアイプランニング株式会社</t>
  </si>
  <si>
    <t xml:space="preserve">クオレ(ジャパン)   </t>
  </si>
  <si>
    <t xml:space="preserve">ネクサス(通商) </t>
  </si>
  <si>
    <t xml:space="preserve">フィット(ナカザワ) </t>
  </si>
  <si>
    <t xml:space="preserve">国松工務店 </t>
  </si>
  <si>
    <t xml:space="preserve">昭和住宅 </t>
  </si>
  <si>
    <t>㈱Sol</t>
  </si>
  <si>
    <t>ヴェル・ハウジング</t>
  </si>
  <si>
    <t>ヤマイチ・ユニハイムエステート</t>
  </si>
  <si>
    <t xml:space="preserve">アイディホーム(奈良) </t>
  </si>
  <si>
    <t>ライフステージ【本社】</t>
  </si>
  <si>
    <t>㈱CozyCozy</t>
  </si>
  <si>
    <t>㈱和協</t>
  </si>
  <si>
    <t>松原工務店</t>
  </si>
  <si>
    <t>椿工務店</t>
  </si>
  <si>
    <t>湯山工務店</t>
  </si>
  <si>
    <t>日進堂</t>
  </si>
  <si>
    <t>浜中建設</t>
  </si>
  <si>
    <t>龍野実業建築</t>
  </si>
  <si>
    <t>アイフルホーム（㈱LIXIL住宅研究所）</t>
  </si>
  <si>
    <t>創建</t>
  </si>
  <si>
    <t>敷島住研㈱</t>
    <phoneticPr fontId="2"/>
  </si>
  <si>
    <t>敷島住研</t>
  </si>
  <si>
    <t xml:space="preserve">ミズモト </t>
  </si>
  <si>
    <t xml:space="preserve">龍野実業建築家 </t>
  </si>
  <si>
    <t>龍野実業建築家</t>
  </si>
  <si>
    <t>ハウジングL</t>
  </si>
  <si>
    <t>クラッセ住宅販売</t>
  </si>
  <si>
    <t>島屋</t>
  </si>
  <si>
    <t>㈱タカケン（キリン木材）</t>
  </si>
  <si>
    <t>住友不動産㈱リフォーム</t>
  </si>
  <si>
    <t>大五</t>
  </si>
  <si>
    <t>三和建設</t>
  </si>
  <si>
    <t>タカケン(キリン木材)</t>
  </si>
  <si>
    <t xml:space="preserve">タクトホーム(名古屋) </t>
  </si>
  <si>
    <t xml:space="preserve">島屋(越智産業) </t>
  </si>
  <si>
    <t>田原建設</t>
  </si>
  <si>
    <t>アイフル</t>
  </si>
  <si>
    <t>かつら木材センター</t>
  </si>
  <si>
    <t>御浜建設</t>
  </si>
  <si>
    <t>積和近畿</t>
  </si>
  <si>
    <t>ハウスロジコム西日本センター</t>
  </si>
  <si>
    <t>㈱デザオ建設</t>
  </si>
  <si>
    <t>目片工務店</t>
  </si>
  <si>
    <t>グラップ木下</t>
  </si>
  <si>
    <t>オリエンタル</t>
  </si>
  <si>
    <t>住宅情報館</t>
  </si>
  <si>
    <t>小林住吉</t>
  </si>
  <si>
    <t>御浜</t>
  </si>
  <si>
    <t>積水ﾊｳｽﾉｲｴ中国(岡山)</t>
  </si>
  <si>
    <t>積水ハウスノイエ中国 （岡山）</t>
  </si>
  <si>
    <t xml:space="preserve">積水ハウスノイエ北陸 </t>
  </si>
  <si>
    <t xml:space="preserve">ふうのき建設 </t>
  </si>
  <si>
    <t xml:space="preserve">アマノ(北恵) </t>
  </si>
  <si>
    <t>㈱アイ建設</t>
  </si>
  <si>
    <t>新規ケイアイプランニング</t>
  </si>
  <si>
    <t>㈱ファイブイズホーム</t>
  </si>
  <si>
    <t>積水ハウスノイエ北陸</t>
  </si>
  <si>
    <t>北野木材</t>
  </si>
  <si>
    <t>野澤工務店（㈱和協）</t>
  </si>
  <si>
    <t xml:space="preserve">エイワハウジング(野原) </t>
    <phoneticPr fontId="2"/>
  </si>
  <si>
    <t xml:space="preserve">ジャパンアイディアホーム </t>
  </si>
  <si>
    <t>広島ランバーテック アイ工務店</t>
    <phoneticPr fontId="2"/>
  </si>
  <si>
    <t>ゆうび建設</t>
  </si>
  <si>
    <t>橘建設</t>
  </si>
  <si>
    <t>積水ﾊｳｽﾉｲｴ中国(広島)</t>
  </si>
  <si>
    <t>穴吹工務店</t>
  </si>
  <si>
    <t>田村工務店</t>
  </si>
  <si>
    <t>ｱｲﾙﾎｰﾑ</t>
  </si>
  <si>
    <t>ﾑﾂﾐ建設</t>
  </si>
  <si>
    <t>ﾖｰｸﾍﾞﾙ</t>
  </si>
  <si>
    <t>川瀬建築</t>
  </si>
  <si>
    <t>ｷﾉｴﾈ</t>
  </si>
  <si>
    <t>小菅工務店</t>
  </si>
  <si>
    <t>葛城木材</t>
  </si>
  <si>
    <t>㈲マツワホーム</t>
  </si>
  <si>
    <t>㈱柱/天の家㈱</t>
  </si>
  <si>
    <t>クラッセ住宅販売　株式会社</t>
  </si>
  <si>
    <t>ﾏﾂﾜﾎｰﾑ</t>
  </si>
  <si>
    <t>ｽﾃｰﾂ</t>
  </si>
  <si>
    <t>ﾔﾏﾄ住建</t>
  </si>
  <si>
    <t>有限会社ファーストホーム</t>
  </si>
  <si>
    <t>㈱石井ホーム</t>
  </si>
  <si>
    <t>ケイアイ・クリエイト</t>
  </si>
  <si>
    <t>㈱グラップ木下</t>
  </si>
  <si>
    <t>ｱｴﾗﾎｰﾑ</t>
  </si>
  <si>
    <t>㈱森下技建</t>
  </si>
  <si>
    <t xml:space="preserve">フォーシーム(大日本木材防腐)  </t>
  </si>
  <si>
    <t>田中住建(あんじゅ)</t>
  </si>
  <si>
    <t>中村建設</t>
  </si>
  <si>
    <t>東友(株)</t>
  </si>
  <si>
    <t xml:space="preserve">積水ハウスノイエ中国 （広島） </t>
  </si>
  <si>
    <t>㈱秀光ビルド</t>
  </si>
  <si>
    <t>ヤマト住建㈱</t>
  </si>
  <si>
    <t>エコハウス</t>
  </si>
  <si>
    <t>㈱マリンホーム</t>
  </si>
  <si>
    <t>明建ハウス</t>
  </si>
  <si>
    <t>㈱南商店</t>
  </si>
  <si>
    <t>大昭工業</t>
  </si>
  <si>
    <t>武士建築設計</t>
  </si>
  <si>
    <t>ハッピーハウス</t>
  </si>
  <si>
    <t>古荘都市開発</t>
  </si>
  <si>
    <t>通商㈱泉北支店</t>
  </si>
  <si>
    <t>前田工務店</t>
  </si>
  <si>
    <t>小浜木材工業</t>
  </si>
  <si>
    <t>㈱原川</t>
  </si>
  <si>
    <t>田島木材</t>
  </si>
  <si>
    <t>㈱角建</t>
  </si>
  <si>
    <t>木のホーム</t>
  </si>
  <si>
    <t>フジヒサハウジング</t>
  </si>
  <si>
    <t>アイ工務店(ポラテック九州)</t>
  </si>
  <si>
    <t>アサヒグローバル㈱</t>
  </si>
  <si>
    <t>アイ工務店(ポラテック西日本)</t>
  </si>
  <si>
    <t>エヌ・ケイ興産</t>
  </si>
  <si>
    <t>ファミリーホーム</t>
  </si>
  <si>
    <t>アイ工務店(関東)</t>
  </si>
  <si>
    <t>アイ工務店　関西</t>
  </si>
  <si>
    <t>アイケンジャパン</t>
  </si>
  <si>
    <t>株式会社　めばえ建築</t>
  </si>
  <si>
    <t>ALLAGI株式会社</t>
  </si>
  <si>
    <t>ナガタニ建設</t>
  </si>
  <si>
    <t>株式会社コラボハウス</t>
  </si>
  <si>
    <t>株式会社 中商</t>
  </si>
  <si>
    <t>EIANGO</t>
  </si>
  <si>
    <t>ファインテクニカル</t>
  </si>
  <si>
    <t>株式会社龍野実業建築家</t>
  </si>
  <si>
    <t>株式会社平成工芸</t>
  </si>
  <si>
    <t>ライフデザインホーム</t>
  </si>
  <si>
    <t>㈱木場工務店</t>
  </si>
  <si>
    <t>㈱裕成</t>
  </si>
  <si>
    <t>㈱SAKATA</t>
  </si>
  <si>
    <t>ブレイン・リアルエステート</t>
  </si>
  <si>
    <t>松井建設</t>
  </si>
  <si>
    <t>㈱上野工務店</t>
  </si>
  <si>
    <t>カナディアンホームプラス</t>
  </si>
  <si>
    <t>匠工房</t>
  </si>
  <si>
    <t>あんじゅホーム（西宮）</t>
  </si>
  <si>
    <t>㈱エイワハウジング</t>
  </si>
  <si>
    <t>キノエネ工務店㈱</t>
  </si>
  <si>
    <t>オールピース</t>
  </si>
  <si>
    <t>OCTプランニング</t>
  </si>
  <si>
    <t>㈲藤原建築工業所</t>
  </si>
  <si>
    <t>komasu工房</t>
  </si>
  <si>
    <t>浜中建設㈱</t>
  </si>
  <si>
    <t>㈱成和不動産</t>
  </si>
  <si>
    <t>ファンビルド</t>
  </si>
  <si>
    <t>村地綜合木材㈱</t>
  </si>
  <si>
    <t>クロノスホーム株式会社</t>
  </si>
  <si>
    <t>㈱柱・天の家㈱</t>
  </si>
  <si>
    <t>株式会社 美川ホーム</t>
  </si>
  <si>
    <t>大建興産</t>
  </si>
  <si>
    <t>柴生商事 株式会社</t>
  </si>
  <si>
    <t>㈲MELEE</t>
  </si>
  <si>
    <t>株式会社 井上工務店</t>
  </si>
  <si>
    <t>酒井工務店</t>
  </si>
  <si>
    <t>藤井建設</t>
  </si>
  <si>
    <t>城建設 有限会社</t>
  </si>
  <si>
    <t>株式会社松原工務店</t>
  </si>
  <si>
    <t>東池工務店</t>
  </si>
  <si>
    <t>ヤマイチ・ユニハイムエステート㈱</t>
  </si>
  <si>
    <t>㈱湯山工務店</t>
  </si>
  <si>
    <t>総合建設ユーケン</t>
  </si>
  <si>
    <t>株式会社　川瀬建築</t>
  </si>
  <si>
    <t>Aj-Studio</t>
  </si>
  <si>
    <t>岡谷工務店㈱</t>
  </si>
  <si>
    <t>ミサワホーム近畿</t>
  </si>
  <si>
    <t>アイ工務店</t>
  </si>
  <si>
    <t>株式会社　下岡建設</t>
  </si>
  <si>
    <t>シアーズホーム(通商熊本)</t>
  </si>
  <si>
    <t>トータルインフォメーション</t>
  </si>
  <si>
    <t>㈱エイワハウジング(村地)</t>
  </si>
  <si>
    <t>日交建設</t>
  </si>
  <si>
    <t>キシダ</t>
  </si>
  <si>
    <t>高田組</t>
  </si>
  <si>
    <t>元気 株式会社</t>
  </si>
  <si>
    <t>シノケンプロデュース</t>
  </si>
  <si>
    <t>住友不動産株式会社 リフォーム</t>
  </si>
  <si>
    <t>辻井木材株式会社</t>
  </si>
  <si>
    <t>ホームライフ</t>
  </si>
  <si>
    <t>㈱匠建枚方</t>
  </si>
  <si>
    <t>小西工務店</t>
  </si>
  <si>
    <t>株式会社　インサイトハウス</t>
  </si>
  <si>
    <t>和協</t>
  </si>
  <si>
    <t>イノス</t>
  </si>
  <si>
    <t>桧家住宅</t>
  </si>
  <si>
    <t>ホーク・ワン</t>
  </si>
  <si>
    <t>省令準</t>
    <rPh sb="0" eb="3">
      <t>ショウレイジュン</t>
    </rPh>
    <phoneticPr fontId="2"/>
  </si>
  <si>
    <t>アイ工務店(ナイス)</t>
    <phoneticPr fontId="2"/>
  </si>
  <si>
    <t>桧家住宅</t>
    <phoneticPr fontId="2"/>
  </si>
  <si>
    <t>ユニバーサルホームサービス</t>
    <phoneticPr fontId="2"/>
  </si>
  <si>
    <t>藤井工務店</t>
    <phoneticPr fontId="2"/>
  </si>
  <si>
    <t>マコト建装(美原)</t>
    <phoneticPr fontId="2"/>
  </si>
  <si>
    <t>リレーション</t>
    <phoneticPr fontId="2"/>
  </si>
  <si>
    <t>ふうのき建設 株式会社</t>
    <phoneticPr fontId="2"/>
  </si>
  <si>
    <t>C:\Users\yanas\Desktop\大阪　振り分け\振り分け後データ</t>
    <phoneticPr fontId="2"/>
  </si>
  <si>
    <t>C:\Users\yanas\Desktop\大阪　振り分け\振り分け前データ</t>
    <phoneticPr fontId="2"/>
  </si>
  <si>
    <t>真岡工場データ振り分け</t>
    <rPh sb="0" eb="2">
      <t>モオカ</t>
    </rPh>
    <rPh sb="2" eb="4">
      <t>コウジョウ</t>
    </rPh>
    <rPh sb="7" eb="8">
      <t>フ</t>
    </rPh>
    <rPh sb="9" eb="10">
      <t>ワ</t>
    </rPh>
    <phoneticPr fontId="2"/>
  </si>
  <si>
    <t>https://nskkogyo.sharepoint.com/sites/DQ/Lists/List5/AllItems.aspx</t>
    <phoneticPr fontId="2"/>
  </si>
  <si>
    <t>List</t>
    <phoneticPr fontId="2"/>
  </si>
  <si>
    <t>Excel</t>
    <phoneticPr fontId="2"/>
  </si>
  <si>
    <t>省令準・準耐火</t>
    <rPh sb="0" eb="3">
      <t>ショウレイジュン</t>
    </rPh>
    <rPh sb="4" eb="7">
      <t>ジュンタイカ</t>
    </rPh>
    <phoneticPr fontId="2"/>
  </si>
  <si>
    <t>横浜ビルダー</t>
    <rPh sb="0" eb="2">
      <t>ヨコハマ</t>
    </rPh>
    <phoneticPr fontId="2"/>
  </si>
  <si>
    <t>セントラルホーム 株式会社</t>
  </si>
  <si>
    <t>株式会社　新日本機工</t>
  </si>
  <si>
    <t>ふうのき建設 株式会社</t>
  </si>
  <si>
    <t>MIMORI</t>
  </si>
  <si>
    <t>アイキョーハウス</t>
    <phoneticPr fontId="19"/>
  </si>
  <si>
    <t>株式会社 オカショー</t>
  </si>
  <si>
    <t>㈱横尾材木店(北恵)</t>
  </si>
  <si>
    <t>香陵住販</t>
  </si>
  <si>
    <t>スタイルデザイン</t>
  </si>
  <si>
    <t>有限会社 ササケン設計事務所</t>
  </si>
  <si>
    <t>前田工務店</t>
    <phoneticPr fontId="2"/>
  </si>
  <si>
    <t>スカイフィールドコーポレーション</t>
  </si>
  <si>
    <t>スマートハウジング</t>
  </si>
  <si>
    <t>大亀工務店</t>
  </si>
  <si>
    <t>イシカワ（西澤材木店）</t>
  </si>
  <si>
    <t>タマホーム㈱</t>
    <phoneticPr fontId="2"/>
  </si>
  <si>
    <t>ケイアイスター不動産</t>
  </si>
  <si>
    <t>㈱ヤマダホームズ</t>
  </si>
  <si>
    <t>アイ工務店(ナイス)</t>
  </si>
  <si>
    <t>株式会社アキュラホーム</t>
  </si>
  <si>
    <t>㈱オープンハウス・アーキテクト</t>
  </si>
  <si>
    <t>(株)オープンハウス・ディベロップメント</t>
  </si>
  <si>
    <t>アイ建設</t>
    <rPh sb="2" eb="4">
      <t>ケンセツ</t>
    </rPh>
    <phoneticPr fontId="2"/>
  </si>
  <si>
    <t>㈱イーカム</t>
  </si>
  <si>
    <t>ファミリーホーム</t>
    <phoneticPr fontId="2"/>
  </si>
  <si>
    <t>ケイアイスター不動産(準耐火)</t>
  </si>
  <si>
    <t>アイ工務店(関東)</t>
    <phoneticPr fontId="2"/>
  </si>
  <si>
    <t>旭ハウジング</t>
  </si>
  <si>
    <t>㈱ノーブルホーム</t>
  </si>
  <si>
    <t>㈱アイケンジャパン</t>
    <phoneticPr fontId="2"/>
  </si>
  <si>
    <t>アーレックス株式会社</t>
  </si>
  <si>
    <t>株式会社　ウンノハウス</t>
  </si>
  <si>
    <t>アエラホーム㈱</t>
  </si>
  <si>
    <t>リレーション</t>
  </si>
  <si>
    <t>建新</t>
  </si>
  <si>
    <t>心建設（中部ホームサービス）</t>
  </si>
  <si>
    <t>㈱あいホーム</t>
  </si>
  <si>
    <t>株式会社ステーツ</t>
  </si>
  <si>
    <t>株式会社　マッケンジーハウス</t>
  </si>
  <si>
    <t>横尾材木店(平方木材)</t>
  </si>
  <si>
    <t>株式会社フジケン</t>
  </si>
  <si>
    <t>さくら建設㈱</t>
  </si>
  <si>
    <t>遠鉄ホーム（中部ホームサービス）</t>
  </si>
  <si>
    <t>ヒノキヤレスコ</t>
  </si>
  <si>
    <t>ハーバーハウス(株)</t>
  </si>
  <si>
    <t>株式会社 秀建</t>
  </si>
  <si>
    <t>ネクストワンインターナショナル 株式会社</t>
  </si>
  <si>
    <t>株式会社Ｓｔａｎｄａｒｄ</t>
  </si>
  <si>
    <t>サーティーフォー</t>
  </si>
  <si>
    <t>ダイエープロビス　株式会社</t>
  </si>
  <si>
    <t>㈱ライズウェル(RID)</t>
  </si>
  <si>
    <t>東海住宅株式会社</t>
  </si>
  <si>
    <t>クレバリーホーム</t>
  </si>
  <si>
    <t>大丸開発　株式会社</t>
  </si>
  <si>
    <t>株式会社ウッドフレンズ</t>
  </si>
  <si>
    <t>株式会社　大雄建設</t>
  </si>
  <si>
    <t>株式会社 アルプスピアホーム</t>
  </si>
  <si>
    <t>中部ホームサービス</t>
  </si>
  <si>
    <t>㈱イシカワ</t>
  </si>
  <si>
    <t>㈱中里建設</t>
  </si>
  <si>
    <t>ダイユウホーム</t>
  </si>
  <si>
    <t>株式会社横和工務店</t>
  </si>
  <si>
    <t>横尾材木店(篠原商店)</t>
  </si>
  <si>
    <t>株式会社 スケッチライフスタイルワークス</t>
  </si>
  <si>
    <t>㈱木下工務店</t>
  </si>
  <si>
    <t>㈱高木工務店</t>
  </si>
  <si>
    <t>㈱ひらい</t>
  </si>
  <si>
    <t>福工房</t>
  </si>
  <si>
    <t>㈱エヌハウス</t>
  </si>
  <si>
    <t>南陽吉久株式会社</t>
  </si>
  <si>
    <t>横尾材木店(ポラテック)</t>
  </si>
  <si>
    <t>家づくりナイスホームズ 株式会社</t>
  </si>
  <si>
    <t>マコト建装(美原)</t>
  </si>
  <si>
    <t>黒澤建設</t>
  </si>
  <si>
    <t>コンクスハウジング</t>
  </si>
  <si>
    <t>株式会社 トミオ</t>
  </si>
  <si>
    <t>株式会社　感動ハウス</t>
  </si>
  <si>
    <t>藤井工務店</t>
  </si>
  <si>
    <t>横尾材木店(渡商)</t>
  </si>
  <si>
    <t>インディアホーム水戸中央</t>
  </si>
  <si>
    <t>横尾材木店(旭木材工業)</t>
  </si>
  <si>
    <t>フォーライフ 株式会社</t>
  </si>
  <si>
    <t>さくらホーム株式会社</t>
  </si>
  <si>
    <t>百年住宅(株)</t>
  </si>
  <si>
    <t>アイムホーム</t>
  </si>
  <si>
    <t>三昭堂</t>
  </si>
  <si>
    <t>ハウスリンクホーム株式会社</t>
  </si>
  <si>
    <t>ユニホー</t>
  </si>
  <si>
    <t>レスパイトサービス</t>
  </si>
  <si>
    <t>渡商</t>
  </si>
  <si>
    <t>タカキ</t>
  </si>
  <si>
    <t>㈱今村組</t>
  </si>
  <si>
    <t>株式会社 オカザキホーム</t>
  </si>
  <si>
    <t>モダン　株式会社</t>
  </si>
  <si>
    <t>株式会社 イー・プランニング</t>
  </si>
  <si>
    <t>株式会社 リアンコーポレーション</t>
  </si>
  <si>
    <t>匠技建</t>
  </si>
  <si>
    <t>睦建設</t>
  </si>
  <si>
    <t>クリエイティブホーム</t>
  </si>
  <si>
    <t>総武建設株式会社</t>
  </si>
  <si>
    <t>Y’sホーム株式会社</t>
  </si>
  <si>
    <t>株式会社ヤマトサービス</t>
  </si>
  <si>
    <t>イノスグループ(東北)</t>
  </si>
  <si>
    <t>イノスグループ(大阪)</t>
  </si>
  <si>
    <t>小林株式会社</t>
  </si>
  <si>
    <t>DMB東海建材株式会社</t>
  </si>
  <si>
    <t>株式会社 山蝶</t>
  </si>
  <si>
    <t>センチュリーホーム</t>
  </si>
  <si>
    <t>金杉屋</t>
  </si>
  <si>
    <t>株式会社 ジュン・ホーム</t>
  </si>
  <si>
    <t>TOKYO BIG HOUSE(株)</t>
  </si>
  <si>
    <t>敷島住宅</t>
    <phoneticPr fontId="2"/>
  </si>
  <si>
    <t>ハイテックファクトリー</t>
  </si>
  <si>
    <t>敷島住研</t>
    <phoneticPr fontId="2"/>
  </si>
  <si>
    <t>成也住建</t>
  </si>
  <si>
    <t>株式会社 RT(ELホーム)</t>
  </si>
  <si>
    <t>ユニバーサルホームサービス</t>
  </si>
  <si>
    <t>株式会社RID</t>
  </si>
  <si>
    <t>山万株式会社</t>
  </si>
  <si>
    <t>株式会社 和協</t>
  </si>
  <si>
    <t>那須土木 株式会社</t>
  </si>
  <si>
    <t>イノス</t>
    <phoneticPr fontId="2"/>
  </si>
  <si>
    <t>田山建設</t>
  </si>
  <si>
    <t>TARUKEN</t>
  </si>
  <si>
    <t>ホーク・ワン</t>
    <phoneticPr fontId="2"/>
  </si>
  <si>
    <t>創建建設</t>
  </si>
  <si>
    <t>桧家住宅(上信越支社)</t>
  </si>
  <si>
    <t>クリエイトホームズ</t>
  </si>
  <si>
    <t>桧家住宅(東北支社)</t>
  </si>
  <si>
    <t>大福建設</t>
  </si>
  <si>
    <t>桧家住宅(北関東支社)</t>
  </si>
  <si>
    <t>力量ハウジング</t>
  </si>
  <si>
    <t>桧家住宅(東海支社)</t>
  </si>
  <si>
    <t>ノーブルホーム</t>
  </si>
  <si>
    <t>桧家住宅(埼玉支社)</t>
  </si>
  <si>
    <t>新昭和リビンズ</t>
  </si>
  <si>
    <t>桧家住宅(東京支社)</t>
  </si>
  <si>
    <t>イノスグループ(東京)</t>
  </si>
  <si>
    <t>桧家住宅(不動産企画部)</t>
  </si>
  <si>
    <t>DAISHU</t>
  </si>
  <si>
    <t>桧家住宅(千葉支社)</t>
  </si>
  <si>
    <t>ジャパン建材　神奈川資材営業所</t>
  </si>
  <si>
    <t>㈱桧家住宅(滋賀)</t>
  </si>
  <si>
    <t>藍和ハウジング</t>
  </si>
  <si>
    <t>㈱ハッピーハウス</t>
  </si>
  <si>
    <t>サンプロ</t>
  </si>
  <si>
    <t>山二</t>
  </si>
  <si>
    <t>株式会社アナタカラ建設</t>
  </si>
  <si>
    <t>株式会社 市之瀬工務店</t>
  </si>
  <si>
    <t>櫻井建設</t>
  </si>
  <si>
    <t>錦エステート 株式会社</t>
  </si>
  <si>
    <t>サーラ住宅（中部ホームサービス）</t>
  </si>
  <si>
    <t>パパまるハウス</t>
  </si>
  <si>
    <t>ハートフルホーム</t>
  </si>
  <si>
    <t>川祥建設</t>
  </si>
  <si>
    <t>小堀建設</t>
  </si>
  <si>
    <t>有限会社　葛西建販</t>
  </si>
  <si>
    <t>株式会社 マルダイ</t>
  </si>
  <si>
    <t>株式会社 大庭製材</t>
  </si>
  <si>
    <t>ビーミング</t>
  </si>
  <si>
    <t xml:space="preserve">阿部建築工業 </t>
  </si>
  <si>
    <t>ナック</t>
  </si>
  <si>
    <t>リーフ・デザイン</t>
  </si>
  <si>
    <t>ノーブルホーム（シノザキ)</t>
  </si>
  <si>
    <t>ユウホームデザイン</t>
  </si>
  <si>
    <t>ジューテック</t>
  </si>
  <si>
    <t>セキノ興産</t>
  </si>
  <si>
    <t>株式会社住MILE</t>
  </si>
  <si>
    <t>アルティス（中部ホームサービス）</t>
  </si>
  <si>
    <t>細田工務店</t>
  </si>
  <si>
    <t>パナソニックホームズ</t>
  </si>
  <si>
    <t>ジェクト(株)</t>
  </si>
  <si>
    <t>サウザンドホーム 株式会社</t>
  </si>
  <si>
    <t>株式会社　レジェンドホーム</t>
  </si>
  <si>
    <t>湘南Simsホーム</t>
  </si>
  <si>
    <t>山下建設</t>
  </si>
  <si>
    <t>大湊</t>
  </si>
  <si>
    <t>スピリタス</t>
  </si>
  <si>
    <t>イノスグループ(名古屋)</t>
  </si>
  <si>
    <t>田畑建築</t>
  </si>
  <si>
    <t>本橋木材</t>
  </si>
  <si>
    <t>王舞企画建築</t>
  </si>
  <si>
    <t>㈱ヤマダホームズ(準耐火)</t>
  </si>
  <si>
    <t>アイフルホーム（㈱LIXIL住宅研究所）</t>
    <phoneticPr fontId="2"/>
  </si>
  <si>
    <t>㈱アルプスピアホーム(征矢野建材)</t>
  </si>
  <si>
    <t>Book1.xlsx</t>
  </si>
  <si>
    <t>目地</t>
    <rPh sb="0" eb="2">
      <t>メジ</t>
    </rPh>
    <phoneticPr fontId="2"/>
  </si>
  <si>
    <t>黄色背景　→　省令準耐火・準耐火物件</t>
    <rPh sb="0" eb="2">
      <t>キイロ</t>
    </rPh>
    <rPh sb="2" eb="4">
      <t>ハイケイ</t>
    </rPh>
    <rPh sb="7" eb="9">
      <t>ショウレイ</t>
    </rPh>
    <rPh sb="9" eb="10">
      <t>ジュン</t>
    </rPh>
    <rPh sb="10" eb="12">
      <t>タイカ</t>
    </rPh>
    <rPh sb="13" eb="14">
      <t>ジュン</t>
    </rPh>
    <rPh sb="14" eb="16">
      <t>タイカ</t>
    </rPh>
    <rPh sb="16" eb="18">
      <t>ブッケン</t>
    </rPh>
    <phoneticPr fontId="19"/>
  </si>
  <si>
    <t>背景色無　→　標準物件</t>
    <rPh sb="0" eb="2">
      <t>ハイケイ</t>
    </rPh>
    <rPh sb="2" eb="3">
      <t>ショク</t>
    </rPh>
    <rPh sb="3" eb="4">
      <t>ナシ</t>
    </rPh>
    <rPh sb="7" eb="9">
      <t>ヒョウジュン</t>
    </rPh>
    <rPh sb="9" eb="11">
      <t>ブッケン</t>
    </rPh>
    <phoneticPr fontId="19"/>
  </si>
  <si>
    <t>緑背景　→　横浜物件</t>
    <rPh sb="0" eb="1">
      <t>ミドリ</t>
    </rPh>
    <rPh sb="1" eb="3">
      <t>ハイケイ</t>
    </rPh>
    <rPh sb="6" eb="8">
      <t>ヨコハマ</t>
    </rPh>
    <rPh sb="8" eb="10">
      <t>ブッケン</t>
    </rPh>
    <phoneticPr fontId="19"/>
  </si>
  <si>
    <t>号車</t>
  </si>
  <si>
    <t>ビルダー</t>
  </si>
  <si>
    <t>案件名　（未アップデータ）</t>
  </si>
  <si>
    <t>区分</t>
  </si>
  <si>
    <t>特記事項</t>
  </si>
  <si>
    <t>納期</t>
  </si>
  <si>
    <t>工場</t>
  </si>
  <si>
    <t>受注番号</t>
  </si>
  <si>
    <t>地域</t>
  </si>
  <si>
    <t>案件番号</t>
  </si>
  <si>
    <t>ビルダー名</t>
  </si>
  <si>
    <t>配送先</t>
  </si>
  <si>
    <t>追加不足</t>
  </si>
  <si>
    <t>目地</t>
  </si>
  <si>
    <t>目地数量</t>
  </si>
  <si>
    <t>入隅</t>
  </si>
  <si>
    <t>入隅数量</t>
  </si>
  <si>
    <t>配送時特記事項</t>
  </si>
  <si>
    <t>配送先住所</t>
  </si>
  <si>
    <t>階</t>
  </si>
  <si>
    <t>車両</t>
  </si>
  <si>
    <t>重量</t>
  </si>
  <si>
    <t>確定納期</t>
  </si>
  <si>
    <t>確未</t>
  </si>
  <si>
    <t>都道府県</t>
  </si>
  <si>
    <t>担当者</t>
  </si>
  <si>
    <t>連絡先</t>
  </si>
  <si>
    <t>担当2</t>
  </si>
  <si>
    <t>連絡先2</t>
  </si>
  <si>
    <t>摘要1</t>
  </si>
  <si>
    <t>資料リンク</t>
  </si>
  <si>
    <t>更新者</t>
  </si>
  <si>
    <t>号車</t>
    <rPh sb="0" eb="2">
      <t>ゴウシャ</t>
    </rPh>
    <phoneticPr fontId="21"/>
  </si>
  <si>
    <t>cnt</t>
    <phoneticPr fontId="21"/>
  </si>
  <si>
    <t>件数ﾁｪｯｸ</t>
    <rPh sb="0" eb="2">
      <t>ケンスウ</t>
    </rPh>
    <phoneticPr fontId="21"/>
  </si>
  <si>
    <t>SF202404276638</t>
  </si>
  <si>
    <t>青森1</t>
  </si>
  <si>
    <t>㈱アイ工務店</t>
  </si>
  <si>
    <t>新規</t>
  </si>
  <si>
    <t>有</t>
  </si>
  <si>
    <t>無</t>
  </si>
  <si>
    <t>青森県青森市浜田</t>
  </si>
  <si>
    <t>1,2F</t>
  </si>
  <si>
    <t>2ワイド</t>
  </si>
  <si>
    <t>確</t>
  </si>
  <si>
    <t>青森</t>
  </si>
  <si>
    <t>村谷　有成</t>
  </si>
  <si>
    <t>'070-7828-2656</t>
  </si>
  <si>
    <t>南東北</t>
  </si>
  <si>
    <t>https://nskkogyo.sharepoint.com/:f:/s/2021/Et-hgoEwn8tMifET1jP0Ie8BlRuRjDPfHu7O0C24ztoIew?e=O1z7Tf</t>
  </si>
  <si>
    <t>Kim Phuong</t>
  </si>
  <si>
    <t>B</t>
  </si>
  <si>
    <t>B-1</t>
  </si>
  <si>
    <t>サーバー上の保護されたブラウザーからこのサイトにアクセスしようとしています。スクリプトを有効にして、このページを再度読み込んでください。</t>
  </si>
  <si>
    <t>SF202404083038</t>
  </si>
  <si>
    <t>青森県青森市篠田</t>
  </si>
  <si>
    <t>https://nskkogyo.sharepoint.com/sites/2021/_layouts/15/viewer.aspx?sourcedoc={f6dd041e-4850-44dc-9994-a7a0469f365b}</t>
  </si>
  <si>
    <t>坂口裕美</t>
  </si>
  <si>
    <t>B-2</t>
  </si>
  <si>
    <t/>
  </si>
  <si>
    <t>SF202404296904</t>
  </si>
  <si>
    <t>青森県南津軽郡田舎館村川部</t>
  </si>
  <si>
    <t>平屋</t>
  </si>
  <si>
    <t>https://nskkogyo.sharepoint.com/:f:/s/2021/EldIo5NexHVEs6ticFmqM1kBoQQrkJ2etuAd6qYk0jKZww?e=rTW2Qm</t>
  </si>
  <si>
    <t>B-3</t>
  </si>
  <si>
    <t>RY202405108505</t>
  </si>
  <si>
    <t>宮城1</t>
  </si>
  <si>
    <t>KID仙台市青葉区高松1期1号棟</t>
  </si>
  <si>
    <t>宮城県仙台市青葉区高松</t>
  </si>
  <si>
    <t>宮城</t>
  </si>
  <si>
    <t>志小田　剛</t>
  </si>
  <si>
    <t>'090-3703-5411</t>
  </si>
  <si>
    <t>https://nskkogyo.sharepoint.com/:f:/s/kantou/EmYGKJbo0GJJu9hH_CLydQ4BJO-8aSPqmHfotV4fCVioNg?e=mwJ5Uz</t>
  </si>
  <si>
    <t>Tuyen</t>
  </si>
  <si>
    <t>D</t>
  </si>
  <si>
    <t>D-4</t>
  </si>
  <si>
    <t>青葉区桜ｹ丘5丁目Ⅳ(2棟)2号棟</t>
  </si>
  <si>
    <t>宮城県仙台市青葉区桜ケ丘</t>
  </si>
  <si>
    <t>菅原　凌</t>
  </si>
  <si>
    <t>'090-9152-8525</t>
  </si>
  <si>
    <t>https://nskkogyo.sharepoint.com/:f:/s/%E9%A3%AF%E7%94%B0/EmHD7LJzp2tChJ8571ZuhXsBKRtoImxYg0z0A7KfNM3XkQ?e=hmOzkj</t>
  </si>
  <si>
    <t>ROBOT_VN</t>
  </si>
  <si>
    <t>D-2</t>
  </si>
  <si>
    <t>PA202405231074</t>
  </si>
  <si>
    <t>㈱東栄住宅</t>
  </si>
  <si>
    <t>仙台市青葉区桜ｹ丘6丁目2期(2棟)2号棟</t>
  </si>
  <si>
    <t>２t車必須・ネコチャン</t>
  </si>
  <si>
    <t>三浦隆</t>
  </si>
  <si>
    <t>'070-1640-4339</t>
  </si>
  <si>
    <t>２t車必須・【5月＋キーBOXNo.下2桁　51473034】</t>
  </si>
  <si>
    <t>https://nskkogyo.sharepoint.com/:f:/s/%E9%A3%AF%E7%94%B0/EpSaKUP7kiBIkt2XNOtU3pgBPWnV7vIr_DuItwwglhJTFg?e=grJJAo</t>
  </si>
  <si>
    <t>D-3</t>
  </si>
  <si>
    <t>OS202403291341</t>
  </si>
  <si>
    <t>タクトホーム</t>
  </si>
  <si>
    <t>仙台市将監10期(2棟)1号棟</t>
  </si>
  <si>
    <t>【ネコチャン】</t>
  </si>
  <si>
    <t>宮城県仙台市泉区将監</t>
  </si>
  <si>
    <t>齋藤　陽翔</t>
  </si>
  <si>
    <t>'080-4986-2597</t>
  </si>
  <si>
    <t>https://nskkogyo.sharepoint.com/:f:/s/%E9%A3%AF%E7%94%B0/EsDClxqzA_dPjll5wGcPEwwBjMkm_ZjDAlIjmWD1eWqNNQ?e=pV8FP3</t>
  </si>
  <si>
    <t>D-1</t>
  </si>
  <si>
    <t>OS202404174913</t>
  </si>
  <si>
    <t>仙台市鶴巻3期(3棟)3号棟</t>
  </si>
  <si>
    <t>宮城県仙台市宮城野区鶴巻</t>
  </si>
  <si>
    <t>https://nskkogyo.sharepoint.com/:f:/s/%E9%A3%AF%E7%94%B0/EqI8GFjrQdpHkO1nr3KrwTUBSjdPa_qPV8mUA3VJww9CwQ?e=gg7har</t>
  </si>
  <si>
    <t>D-5</t>
  </si>
  <si>
    <t>RY202402213676</t>
  </si>
  <si>
    <t>タマホーム㈱</t>
  </si>
  <si>
    <t>ﾀﾏﾀｳﾝ朝日山公園2号棟</t>
  </si>
  <si>
    <t>宮城県岩沼市三色吉</t>
  </si>
  <si>
    <t>'070-4547-3388</t>
  </si>
  <si>
    <t>https://nskkogyo.sharepoint.com/sites/2019/_layouts/15/viewer.aspx?sourcedoc={a4c7bd22-cf31-4147-a983-c46bc849bf5c}</t>
  </si>
  <si>
    <t>Yen Quan</t>
  </si>
  <si>
    <t>D-6</t>
  </si>
  <si>
    <t>SN202403127781</t>
  </si>
  <si>
    <t>山形1</t>
  </si>
  <si>
    <t>山形県東村山郡中山町長崎</t>
  </si>
  <si>
    <t>山形</t>
  </si>
  <si>
    <t>今野</t>
  </si>
  <si>
    <t>https://nskkogyo.sharepoint.com/:f:/s/kantou/Em6h8TcSmx5NpnSySXh-M0kBJYCTYjdrLfdOhw2nkBe2TA</t>
  </si>
  <si>
    <t>Quang To</t>
  </si>
  <si>
    <t>A</t>
  </si>
  <si>
    <t>A-1</t>
  </si>
  <si>
    <t>PR202404164699</t>
  </si>
  <si>
    <t>有千</t>
  </si>
  <si>
    <t>【ネコチャン】目地(1000)</t>
  </si>
  <si>
    <t>山形県山形市北山形</t>
  </si>
  <si>
    <t>菅野</t>
  </si>
  <si>
    <t>'070-1509-4946</t>
  </si>
  <si>
    <t>https://nskkogyo.sharepoint.com/:f:/s/kantou/EvFXuSzkj95Du2Q5n6QT4kQB3bBh4RS9z_JQcDHp9C9jxQ</t>
  </si>
  <si>
    <t>A-2</t>
  </si>
  <si>
    <t>参照タブ 1/3</t>
  </si>
  <si>
    <t>PA202404296758</t>
  </si>
  <si>
    <t>福島1</t>
  </si>
  <si>
    <t>福島市笹木野町裏(3棟)1号棟</t>
  </si>
  <si>
    <t>福島県福島市笹木野</t>
  </si>
  <si>
    <t>福島</t>
  </si>
  <si>
    <t>千葉元紀</t>
  </si>
  <si>
    <t>'090-1777-2936</t>
  </si>
  <si>
    <t>https://nskkogyo.sharepoint.com/:f:/s/%E9%A3%AF%E7%94%B0/EmmWl1QBkoJJoxCXc9BIR6YBo2Q53r5gNnGeWjGk-n4H-Q?e=7z4DGg</t>
  </si>
  <si>
    <t>A-3</t>
  </si>
  <si>
    <t>ライブラリ ツール</t>
  </si>
  <si>
    <t>PA202404296759</t>
  </si>
  <si>
    <t>福島市笹木野町裏(3棟)2号棟</t>
  </si>
  <si>
    <t>https://nskkogyo.sharepoint.com/:f:/s/%E9%A3%AF%E7%94%B0/El4lSNhMWrlCldE3rStgNMABmCIl4-UXBaUeUAVZC5Cvxw?e=ibYd5M</t>
  </si>
  <si>
    <t>A-4</t>
  </si>
  <si>
    <t>PA202404296760</t>
  </si>
  <si>
    <t>福島市笹木野町裏(3棟)3号棟</t>
  </si>
  <si>
    <t>https://nskkogyo.sharepoint.com/:f:/s/%E9%A3%AF%E7%94%B0/EtcbJqfL5qBFgytImF6ijH4BdoAio43E5gnhcCDaILZZlQ?e=wwXX55</t>
  </si>
  <si>
    <t>A-5</t>
  </si>
  <si>
    <t>日出山3丁目第2(8棟)4号棟</t>
  </si>
  <si>
    <t>福島県郡山市安積町日出山</t>
  </si>
  <si>
    <t>小林　哲太</t>
  </si>
  <si>
    <t>'024-927-1411</t>
  </si>
  <si>
    <t>https://nskkogyo.sharepoint.com/:f:/s/%E9%A3%AF%E7%94%B0/EhEQ2V6qeWlChBUmgUOYG9gBGr3-0mx_iTxqDjWO4ktd5Q?e=2DJYQ3</t>
  </si>
  <si>
    <t>D-7</t>
  </si>
  <si>
    <t>日出山3丁目第2(8棟)7号棟</t>
  </si>
  <si>
    <t>https://nskkogyo.sharepoint.com/:f:/s/%E9%A3%AF%E7%94%B0/EtpT8pcuaJNNsBGS65malI0BaeaGEEb3jO3AXl9BK7Lk5A?e=hCHUx3</t>
  </si>
  <si>
    <t>D-8</t>
  </si>
  <si>
    <t>PA202405231050</t>
  </si>
  <si>
    <t>郡山市大槻町原田北1棟</t>
  </si>
  <si>
    <t>福島県郡山市大槻町</t>
  </si>
  <si>
    <t>渡部　靖隆</t>
  </si>
  <si>
    <t>'080-7164-8052</t>
  </si>
  <si>
    <t>２t車必須・【5月＋キーBOXNo.下2桁　51273036】・敷地内に電力線(防護管あり)が越境してるので、ご注意</t>
  </si>
  <si>
    <t>https://nskkogyo.sharepoint.com/:f:/s/%E9%A3%AF%E7%94%B0/EvKVsqV6sq1Cp_F1iQat9AgBK203PRWn1xPwaT07dXEGug?e=e96eRJ</t>
  </si>
  <si>
    <t>A-7</t>
  </si>
  <si>
    <t>RY202404225509</t>
  </si>
  <si>
    <t>福島県二本松市茶園</t>
  </si>
  <si>
    <t>'090-6296-4164</t>
  </si>
  <si>
    <t>https://nskkogyo.sharepoint.com/sites/2019/_layouts/15/viewer.aspx?sourcedoc={fb891ec3-512b-42cd-8814-f164d6a4c607}</t>
  </si>
  <si>
    <t>NHU.Y</t>
  </si>
  <si>
    <t>A-6</t>
  </si>
  <si>
    <t>SN202405098249</t>
  </si>
  <si>
    <t>関東1</t>
  </si>
  <si>
    <t>KIS足立区千住元町2期3号棟</t>
  </si>
  <si>
    <t>東京都足立区千住元町</t>
  </si>
  <si>
    <t>1,2,3F</t>
  </si>
  <si>
    <t>関東</t>
  </si>
  <si>
    <t>'070-7601-7549</t>
  </si>
  <si>
    <t>https://nskkogyo.sharepoint.com/:f:/s/kantou/EiSMEiidapBNpotXvmWK3TcBUFo5v3PMe2XVp00CYzQsqQ?e=Tw52M4</t>
  </si>
  <si>
    <t>I</t>
  </si>
  <si>
    <t>I-1</t>
  </si>
  <si>
    <t>FP202403056016</t>
  </si>
  <si>
    <t>【吊元防振】【ネコ】</t>
  </si>
  <si>
    <t>東京都三鷹市中原</t>
  </si>
  <si>
    <t>'070-3349-2122</t>
  </si>
  <si>
    <t>https://nskkogyo.sharepoint.com/:f:/s/kantou/ErSRXaGz33xJrFFFwIUTZmoBjP6kGoXPyx5EJLGUyGxV6w?e=RiiEhC</t>
  </si>
  <si>
    <t>佐藤実紗</t>
  </si>
  <si>
    <t>K</t>
  </si>
  <si>
    <t>K-3</t>
  </si>
  <si>
    <t>SN202403229870</t>
  </si>
  <si>
    <t>大沼町705⑤1</t>
  </si>
  <si>
    <t>【9：30～16：30配送必須】【2TS必須】</t>
  </si>
  <si>
    <t>東京都小平市大沼町</t>
  </si>
  <si>
    <t>2S</t>
  </si>
  <si>
    <t>'070-3122-3715</t>
  </si>
  <si>
    <t>【9：30～16：30配送必須】</t>
  </si>
  <si>
    <t>https://nskkogyo.sharepoint.com/:f:/s/kantou/EpRTD6zX5nRLnm1Z1UDpNXsBf0RxA9W7sYeb1Z9k1cIGNg</t>
  </si>
  <si>
    <t>K-4</t>
  </si>
  <si>
    <t>あきる野伊奈第4期(7棟)3号棟</t>
  </si>
  <si>
    <t>8時～19時厳守</t>
  </si>
  <si>
    <t>東京都あきる野市伊奈</t>
  </si>
  <si>
    <t>坂井　莉菜</t>
  </si>
  <si>
    <t>'070-1475-4369</t>
  </si>
  <si>
    <t>https://nskkogyo.sharepoint.com/:f:/s/%E9%A3%AF%E7%94%B0/ErkFDmf5tsxNsqYZ8vjeTEwBu4CGFjULRHLnzMCRcKhmQQ?e=FvwbUw</t>
  </si>
  <si>
    <t>C</t>
  </si>
  <si>
    <t>C-5</t>
  </si>
  <si>
    <t>号車にA-Oを入力後↑ｸﾘｯｸ</t>
    <rPh sb="0" eb="2">
      <t>ゴウシャ</t>
    </rPh>
    <rPh sb="7" eb="9">
      <t>ニュウリョク</t>
    </rPh>
    <rPh sb="9" eb="10">
      <t>ゴ</t>
    </rPh>
    <phoneticPr fontId="21"/>
  </si>
  <si>
    <t xml:space="preserve">タマホーム :74674 髙橋 章友様邸 </t>
  </si>
  <si>
    <t>y8202406012876</t>
  </si>
  <si>
    <t>八王子上壱分方町第15(2棟)1号棟</t>
  </si>
  <si>
    <t>東京都八王子市上壱分方町</t>
  </si>
  <si>
    <t>川名　将平</t>
  </si>
  <si>
    <t>'070-1548-2607</t>
  </si>
  <si>
    <t>https://nskkogyo.sharepoint.com/:f:/s/%E9%A3%AF%E7%94%B0/ErB3AlyHSyJKiaG7RhxpuwcBqWAXFibB3W9yJZhvUsXZmA?e=8qE849</t>
  </si>
  <si>
    <t>Binh</t>
  </si>
  <si>
    <t>C-3</t>
  </si>
  <si>
    <t xml:space="preserve">  </t>
  </si>
  <si>
    <t>RY202401298898</t>
  </si>
  <si>
    <t>東京都町田市南つくし野</t>
  </si>
  <si>
    <t>福浦　秀幸</t>
  </si>
  <si>
    <t>'070-2466-8366</t>
  </si>
  <si>
    <t>https://nskkogyo.sharepoint.com/:f:/s/kantou/ErszYF6YwK1PgvQu4zTiOpsBg8b165tXzBk_lSMINRGNjA?e=WHroQh</t>
  </si>
  <si>
    <t>maingo</t>
  </si>
  <si>
    <t>K-1</t>
  </si>
  <si>
    <t>PR202405098233</t>
  </si>
  <si>
    <t>㈱創建(北恵)</t>
  </si>
  <si>
    <t>東京都町田市矢部町</t>
  </si>
  <si>
    <t>小林　賢斉</t>
  </si>
  <si>
    <t>'090-1601-8773</t>
  </si>
  <si>
    <t>https://nskkogyo.sharepoint.com/:f:/s/kantou/EkYEEblCQdJAj5H7R3MbBgQB0GzqSp2cESdqYS8wYrszfg</t>
  </si>
  <si>
    <t>Nguyen Duyen</t>
  </si>
  <si>
    <t>K-2</t>
  </si>
  <si>
    <t>GO202403056213</t>
  </si>
  <si>
    <t>住協建設㈱</t>
  </si>
  <si>
    <t>【ネコチャン】【チャンネルカット】</t>
  </si>
  <si>
    <t>東京都福生市熊川</t>
  </si>
  <si>
    <t>小原</t>
  </si>
  <si>
    <t>'070-1475-9353</t>
  </si>
  <si>
    <t>https://nskkogyo.sharepoint.com/:f:/s/kantou/EoMupwaH499BuMQoJij0PREB6AgpXq0Bwq58j2JDkKzsNw?e=CXhvbY</t>
  </si>
  <si>
    <t>excelteam</t>
  </si>
  <si>
    <t>C-4</t>
  </si>
  <si>
    <t>Tr202404103627</t>
  </si>
  <si>
    <t>茨城県土浦市神立中央</t>
  </si>
  <si>
    <t>'029-303-6767</t>
  </si>
  <si>
    <t>大工不在時置き場あればTELなし納材OK　無い場合は金杉屋にTELお願いいたします</t>
  </si>
  <si>
    <t>https://nskkogyo.sharepoint.com/:f:/s/kantou/EhhiOeEbpcFKjkgNrDD13SIBu_ljXD9NtuXkcZzcD2pTgg</t>
  </si>
  <si>
    <t>H</t>
  </si>
  <si>
    <t>H-3</t>
  </si>
  <si>
    <t>Nh202404103558</t>
  </si>
  <si>
    <t>ネコチャン</t>
  </si>
  <si>
    <t>茨城県稲敷郡阿見町阿見</t>
  </si>
  <si>
    <t>'080-4925-8170</t>
  </si>
  <si>
    <t>https://nskkogyo.sharepoint.com/sites/kantou/_layouts/15/viewer.aspx?sourcedoc={d2aa8a80-f2ab-4a59-b75e-04d2662b6c6f}</t>
  </si>
  <si>
    <t>H-2</t>
  </si>
  <si>
    <t>ひたちなか高野第7(6棟)6号棟</t>
  </si>
  <si>
    <t>２t車</t>
  </si>
  <si>
    <t>茨城県ひたちなか市高野</t>
  </si>
  <si>
    <t>林　亨</t>
  </si>
  <si>
    <t>'080-3930-9967</t>
  </si>
  <si>
    <t>中島　常幸</t>
  </si>
  <si>
    <t>'070-1506-2270</t>
  </si>
  <si>
    <t>https://nskkogyo.sharepoint.com/:f:/s/%E9%A3%AF%E7%94%B0/EiVOqNRW8fxBmUoTvz5m5tkBDoJrsGp8bOvpghdZ_3dyzw?e=LaBPFW</t>
  </si>
  <si>
    <t>H-5</t>
  </si>
  <si>
    <t>SF202403281107</t>
  </si>
  <si>
    <t>グランディハウス㈱</t>
  </si>
  <si>
    <t>LIGARE田彦13号地</t>
  </si>
  <si>
    <t>【路駐禁止】①～⑩前の道路。特に①～⑤は要注意。</t>
  </si>
  <si>
    <t>茨城県ひたちなか市田彦</t>
  </si>
  <si>
    <t>佐々木　奎佑</t>
  </si>
  <si>
    <t>'070-8687-9877</t>
  </si>
  <si>
    <t>https://nskkogyo.sharepoint.com/:f:/s/2021/Et4ekUctf-9GpD2p8yebspcB0-UHGWt1vvHIm9fDb5MiQA?e=newBX0</t>
  </si>
  <si>
    <t>NASIWAK</t>
  </si>
  <si>
    <t>H-6</t>
  </si>
  <si>
    <t>SN202402121759</t>
  </si>
  <si>
    <t>茨城県神栖市大野原中央</t>
  </si>
  <si>
    <t>https://nskkogyo.sharepoint.com/:f:/s/kantou/EpXwXcIfsvhKs2SYNls84v8B9Gt9lKkbYH-MCVos-2_QOg</t>
  </si>
  <si>
    <t>竹前</t>
  </si>
  <si>
    <t>H-1</t>
  </si>
  <si>
    <t>SN202402193117</t>
  </si>
  <si>
    <t>茨城県小美玉市羽鳥</t>
  </si>
  <si>
    <t>https://nskkogyo.sharepoint.com/:f:/s/kantou/EiKmFQBoxzZBik2Bq-mzrRsBdlDVq7Be9vcjT_lFhzrNLQ</t>
  </si>
  <si>
    <t>H-4</t>
  </si>
  <si>
    <t>配車表の一括をクリック後</t>
    <rPh sb="0" eb="2">
      <t>ハイシャ</t>
    </rPh>
    <rPh sb="2" eb="3">
      <t>ヒョウ</t>
    </rPh>
    <rPh sb="4" eb="6">
      <t>イッカツ</t>
    </rPh>
    <rPh sb="11" eb="12">
      <t>ゴ</t>
    </rPh>
    <phoneticPr fontId="21"/>
  </si>
  <si>
    <t>SN202404093329</t>
  </si>
  <si>
    <t>栃木県宇都宮市上戸祭</t>
  </si>
  <si>
    <t>小室　真人</t>
  </si>
  <si>
    <t>'080-9354-1451</t>
  </si>
  <si>
    <t>https://nskkogyo.sharepoint.com/:f:/s/kantou/EpxZgLkZ0eZFummiIo9sR5wB59OVAgANKRCC7xYIWc-zLw</t>
  </si>
  <si>
    <t>G</t>
  </si>
  <si>
    <t>G-7</t>
  </si>
  <si>
    <t>号車番号追加前にクリック</t>
    <rPh sb="0" eb="2">
      <t>ゴウシャ</t>
    </rPh>
    <rPh sb="2" eb="4">
      <t>バンゴウ</t>
    </rPh>
    <rPh sb="4" eb="6">
      <t>ツイカ</t>
    </rPh>
    <rPh sb="6" eb="7">
      <t>マエ</t>
    </rPh>
    <phoneticPr fontId="21"/>
  </si>
  <si>
    <t>■NSKクレーム内容表■</t>
  </si>
  <si>
    <t>PF202405017182</t>
  </si>
  <si>
    <t>千葉真紀様邸</t>
  </si>
  <si>
    <t>ネコ</t>
  </si>
  <si>
    <t>栃木県芳賀郡益子町益子</t>
  </si>
  <si>
    <t>三浦　健太</t>
  </si>
  <si>
    <t>'080-3432-1653</t>
  </si>
  <si>
    <t>https://nskkogyo.sharepoint.com/:f:/s/abc/EiKLXm-7wi5GhIGcFSUqyhYB5ZR3IhrJtYkcL4lV_QrtHg</t>
  </si>
  <si>
    <t>Ngoan</t>
  </si>
  <si>
    <t>H-7</t>
  </si>
  <si>
    <t>最近使った項目</t>
  </si>
  <si>
    <t>as202404154472</t>
  </si>
  <si>
    <t>株式会社ファイブイズホーム</t>
  </si>
  <si>
    <t>栃木市平柳町3丁目18番61　O号棟</t>
  </si>
  <si>
    <t>栃木県栃木市平柳町</t>
  </si>
  <si>
    <t>杉本　耀</t>
  </si>
  <si>
    <t>'080-4065-7741</t>
  </si>
  <si>
    <t>https://nskkogyo.sharepoint.com/:f:/s/2021/Eq6CQoCjIKVDoNzZotqsLf0BHSHr83eqVbI00bKi9d6weQ?e=7fYGaK</t>
  </si>
  <si>
    <t>G-6</t>
  </si>
  <si>
    <t>ＮＳＫ大阪事務所</t>
  </si>
  <si>
    <t>PI202403230057</t>
  </si>
  <si>
    <t>栃木県那須塩原市東小屋</t>
  </si>
  <si>
    <t>上野　幸夫</t>
  </si>
  <si>
    <t>'080-4146-6718</t>
  </si>
  <si>
    <t>https://nskkogyo.sharepoint.com/:f:/s/2021/EjfmWhr2ll1CqsqXC_CjrDgBqBrCMblexGyfKlhe5xpwmg?e=ejtrzH</t>
  </si>
  <si>
    <t>kiet</t>
  </si>
  <si>
    <t>G-8</t>
  </si>
  <si>
    <t>y8202405017197</t>
  </si>
  <si>
    <t>西川口2期(5棟)5号棟</t>
  </si>
  <si>
    <t>入隅なし（3階建て）</t>
  </si>
  <si>
    <t>埼玉県川口市西川口</t>
  </si>
  <si>
    <t>柴崎　悠良</t>
  </si>
  <si>
    <t>'080-4044-0497</t>
  </si>
  <si>
    <t>https://nskkogyo.sharepoint.com/:f:/s/%E9%A3%AF%E7%94%B0/EgstHuBXOhxDgGnBrWvcso8BmmD20YUHLvaDeFhIYUo53Q?e=IH9asN</t>
  </si>
  <si>
    <t>I-2</t>
  </si>
  <si>
    <t>SL202405017204</t>
  </si>
  <si>
    <t>KIS川口市芝37期1号棟</t>
  </si>
  <si>
    <t>埼玉県川口市芝</t>
  </si>
  <si>
    <t>星直樹</t>
  </si>
  <si>
    <t>'070-7601-7596</t>
  </si>
  <si>
    <t>※現場周辺に小学校有。案内図のご確認をお願いします。</t>
  </si>
  <si>
    <t>https://nskkogyo.sharepoint.com/:f:/s/kantou/EmBH4lltnutOrP3Dsdtdc9ABNFwzQuhVmkFbbwNaaWcPBQ?e=HG0udQ</t>
  </si>
  <si>
    <t>I-5</t>
  </si>
  <si>
    <t>資料リンクから「＃」の記号の削除</t>
    <rPh sb="0" eb="2">
      <t>シリョウ</t>
    </rPh>
    <rPh sb="11" eb="13">
      <t>キゴウ</t>
    </rPh>
    <rPh sb="14" eb="16">
      <t>サクジョ</t>
    </rPh>
    <phoneticPr fontId="21"/>
  </si>
  <si>
    <t>SN202403158434</t>
  </si>
  <si>
    <t>里01418⑤5</t>
  </si>
  <si>
    <t>埼玉県川口市里</t>
  </si>
  <si>
    <t>岩﨑　裕司</t>
  </si>
  <si>
    <t>'090-8558-1136</t>
  </si>
  <si>
    <t>https://nskkogyo.sharepoint.com/:f:/s/kantou/Eo5TXfXqLOVFj--ifX0HBsgB3SF1VQkCSSI0RxMMcDOAVw</t>
  </si>
  <si>
    <t>I-6</t>
  </si>
  <si>
    <t>PB202404266474</t>
  </si>
  <si>
    <t>KIS蕨市塚越27期1号棟</t>
  </si>
  <si>
    <t>埼玉県蕨市塚越</t>
  </si>
  <si>
    <t>依田拓也</t>
  </si>
  <si>
    <t>'070-7601-7599</t>
  </si>
  <si>
    <t>※現場西側道路進入禁止。案内図ご確認お願い致します。</t>
  </si>
  <si>
    <t>https://nskkogyo.sharepoint.com/:f:/s/kantou/ErHpcxpkLTFGhXI0Mw4L7poBwEhx18a_Y1dewnvaxQc0Gg?e=5aw9VW</t>
  </si>
  <si>
    <t>I-3</t>
  </si>
  <si>
    <t>SL202404124092</t>
  </si>
  <si>
    <t>KIS蕨市中央32期1号棟</t>
  </si>
  <si>
    <t>【午後着希望】</t>
  </si>
  <si>
    <t>埼玉県蕨市中央</t>
  </si>
  <si>
    <t>外谷　桂一郎</t>
  </si>
  <si>
    <t>'090-6724-8854</t>
  </si>
  <si>
    <t>キーボックス番号：3355</t>
  </si>
  <si>
    <t>https://nskkogyo.sharepoint.com/:f:/s/kantou/Em6Jk1ic8dVJj__nFwetirwBzyYSCuw_BayToGz-piqFjg?e=6EAwBR</t>
  </si>
  <si>
    <t>I-4</t>
  </si>
  <si>
    <t>GO202404184954</t>
  </si>
  <si>
    <t>岩槻仲町117Ⅱ⑤1</t>
  </si>
  <si>
    <t>埼玉県さいたま市岩槻区仲町</t>
  </si>
  <si>
    <t>'080-4293-7995</t>
  </si>
  <si>
    <t>https://nskkogyo.sharepoint.com/:f:/s/kantou/Et0xsOU0UFVLta3YY_8EOzMBX-_5GeQA9jafjFMpq-WQWQ?e=GKSwMJ</t>
  </si>
  <si>
    <t>I-7</t>
  </si>
  <si>
    <t>PB202402121817</t>
  </si>
  <si>
    <t>三郷市半田(重層長屋1棟6戸)</t>
  </si>
  <si>
    <t>埼玉県三郷市半田</t>
  </si>
  <si>
    <t>小橋　翔太郎</t>
  </si>
  <si>
    <t>'090-9145-6851</t>
  </si>
  <si>
    <t>https://nskkogyo.sharepoint.com/:f:/s/%E9%A3%AF%E7%94%B0/Eg_AexxdyS1PumsEYkNlLVoBY9xEgv4IFCX2eXDbtfQgTg?e=13Bh4N</t>
  </si>
  <si>
    <t>ホン</t>
  </si>
  <si>
    <t>E</t>
  </si>
  <si>
    <t>E-1</t>
  </si>
  <si>
    <t>B列の地域によってデータの並び替え</t>
    <rPh sb="1" eb="2">
      <t>レツ</t>
    </rPh>
    <rPh sb="3" eb="5">
      <t>チイキ</t>
    </rPh>
    <rPh sb="13" eb="14">
      <t>ナラ</t>
    </rPh>
    <rPh sb="15" eb="16">
      <t>カ</t>
    </rPh>
    <phoneticPr fontId="21"/>
  </si>
  <si>
    <t>NH202405312680</t>
  </si>
  <si>
    <t>大和財託㈱</t>
  </si>
  <si>
    <t>春日部市上蛭田700B棟_Z-MAISON</t>
  </si>
  <si>
    <t>埼玉県春日部市上蛭田</t>
  </si>
  <si>
    <t>ショウジ</t>
  </si>
  <si>
    <t>'090-1694-3777</t>
  </si>
  <si>
    <t>https://nskkogyo.sharepoint.com/:f:/s/2021/EqeTiJczTLBFu3oToO7nu1kBOj_ukPAC0n40LAILkm_0Bg?e=ztINIP</t>
  </si>
  <si>
    <t>Ngan</t>
  </si>
  <si>
    <t>E-3</t>
  </si>
  <si>
    <t>SN202402295136</t>
  </si>
  <si>
    <t>埼玉県春日部市南中曽根</t>
  </si>
  <si>
    <t>今嶋</t>
  </si>
  <si>
    <t>'080-3363-7809</t>
  </si>
  <si>
    <t>https://nskkogyo.sharepoint.com/:f:/s/kantou/EofdLwjtq3hOgixBtOkxsTIBbgaO9g6fMm55_BV2uTsFGw</t>
  </si>
  <si>
    <t>E-2</t>
  </si>
  <si>
    <t>as202404154313</t>
  </si>
  <si>
    <t>羽生市大字神戸字西686番　2号棟</t>
  </si>
  <si>
    <t>埼玉県羽生市神戸</t>
  </si>
  <si>
    <t>飯村　智</t>
  </si>
  <si>
    <t>'080-4932-8221</t>
  </si>
  <si>
    <t>鈴木　暁仁</t>
  </si>
  <si>
    <t>'080-9658-6880</t>
  </si>
  <si>
    <t>https://nskkogyo.sharepoint.com/:f:/s/2021/EiyNiWgQnO1JpsbT7FcolvEBV_umxOfixvxKycgdqTKGqw?e=ixabhh</t>
  </si>
  <si>
    <t>G-5</t>
  </si>
  <si>
    <t>タマホーム納材済現在の選択</t>
  </si>
  <si>
    <t>GO202402019733</t>
  </si>
  <si>
    <t>埼玉県飯能市岩沢</t>
  </si>
  <si>
    <t>'070-1389-7455</t>
  </si>
  <si>
    <t>https://nskkogyo.sharepoint.com/:f:/s/kantou/ErM_FbSmrrFGgKB-ocfRspwBs1y5sSD4mzBE7-MlpungtQ?e=eRa0v1</t>
  </si>
  <si>
    <t>K-7</t>
  </si>
  <si>
    <t>タマホームExcelチェック済</t>
  </si>
  <si>
    <t>GO202403117445</t>
  </si>
  <si>
    <t>埼玉県入間市扇町屋</t>
  </si>
  <si>
    <t>友松</t>
  </si>
  <si>
    <t>'070-1476-0495</t>
  </si>
  <si>
    <t>https://nskkogyo.sharepoint.com/:f:/s/kantou/EkzcYKHCcgtOppiGvBlFhA8Bu8EbHBtJA6NpnAeCsc4sFQ?e=ktaRym</t>
  </si>
  <si>
    <t>K-6</t>
  </si>
  <si>
    <t>as202404083160</t>
  </si>
  <si>
    <t>所沢市大字久米2123番1の一部　A号棟</t>
  </si>
  <si>
    <t>埼玉県所沢市久米</t>
  </si>
  <si>
    <t>高田　学</t>
  </si>
  <si>
    <t>'080-3705-6797</t>
  </si>
  <si>
    <t>https://nskkogyo.sharepoint.com/:f:/s/2021/Ejxn98YUBLBDsiA_r_suJXkBT_1JjFQSRfKG-yOCI-aSRg?e=qoapoW</t>
  </si>
  <si>
    <t>K-5</t>
  </si>
  <si>
    <t>SN202405231171</t>
  </si>
  <si>
    <t>埼玉県熊谷市石原</t>
  </si>
  <si>
    <t>'090-6146-3984</t>
  </si>
  <si>
    <t>https://nskkogyo.sharepoint.com/:f:/s/kantou/EpG1gIbIGwZMklNmun1cn1wBl_t4mzGOEmWwZo2nNVcBNg</t>
  </si>
  <si>
    <t>G-2</t>
  </si>
  <si>
    <t>as202404164510</t>
  </si>
  <si>
    <t>山中　信男　様邸</t>
  </si>
  <si>
    <t>埼玉県行田市埼玉</t>
  </si>
  <si>
    <t>https://nskkogyo.sharepoint.com/:f:/s/2021/EleaR5t8fB9MnFNionsdKN4BUnWwu_g9qgj4gYD-_U--aA?e=5zqHL7</t>
  </si>
  <si>
    <t>G-4</t>
  </si>
  <si>
    <t>as202404164521</t>
  </si>
  <si>
    <t>酒井　まどか　様邸</t>
  </si>
  <si>
    <t>埼玉県行田市野</t>
  </si>
  <si>
    <t>https://nskkogyo.sharepoint.com/:f:/s/2021/EvPC3CAlIlxLm2-z37D_-QoBmDKhdS7EpV2xR1m_M05zxA?e=cTRH2n</t>
  </si>
  <si>
    <t>G-3</t>
  </si>
  <si>
    <t>as202404032214</t>
  </si>
  <si>
    <t>深谷市上野台2846番　2号棟</t>
  </si>
  <si>
    <t>埼玉県深谷市上野台</t>
  </si>
  <si>
    <t>長濱　隼</t>
  </si>
  <si>
    <t>'080-3706-4547</t>
  </si>
  <si>
    <t>https://nskkogyo.sharepoint.com/:f:/s/2021/EoPr-N2ojy9FoX61FH45iWQBkWOAh-keEOmyLzyXMv4boA?e=UsDaVp</t>
  </si>
  <si>
    <t>G-1</t>
  </si>
  <si>
    <t>OS202404185102</t>
  </si>
  <si>
    <t>新潟1</t>
  </si>
  <si>
    <t>積水ハウス建設　上信越㈱松本</t>
  </si>
  <si>
    <t>新潟県長岡市宮内</t>
  </si>
  <si>
    <t>新潟</t>
  </si>
  <si>
    <t>磯部　舞</t>
  </si>
  <si>
    <t>'080-8521-7618</t>
  </si>
  <si>
    <t>https://nskkogyo.sharepoint.com/:f:/s/2021/EoO-OvrgttBFs2E-cYD0VFwBopONcwkLe3xFBr6l1iMsDQ?e=yKXZW1</t>
  </si>
  <si>
    <t>J</t>
  </si>
  <si>
    <t>J-7</t>
  </si>
  <si>
    <t>mi202403148192</t>
  </si>
  <si>
    <t>【ラッピング梱包】</t>
  </si>
  <si>
    <t>新潟県長岡市五反田町</t>
  </si>
  <si>
    <t>'090-2957-8675</t>
  </si>
  <si>
    <t>https://nskkogyo.sharepoint.com/:f:/s/kantou/Esl00JXyTgRDlbHCjzO8D04BnnukQsuyxn9kNPI8g6qv_Q?e=9gibEq</t>
  </si>
  <si>
    <t>J-6</t>
  </si>
  <si>
    <t>PI202403250354</t>
  </si>
  <si>
    <t>新潟県新潟市江南区鍋潟新田</t>
  </si>
  <si>
    <t>笹川　信</t>
  </si>
  <si>
    <t>'090-6578-5176</t>
  </si>
  <si>
    <t>https://nskkogyo.sharepoint.com/:f:/s/2021/El1WMh-P_BpHtuHuKv37JPABgJibLcKqddfweweUaMa2Tw?e=6kZA44</t>
  </si>
  <si>
    <t>J-2</t>
  </si>
  <si>
    <t>新潟県新発田市本町</t>
  </si>
  <si>
    <t>高岡</t>
  </si>
  <si>
    <t>'025-279-2100</t>
  </si>
  <si>
    <t>https://nskkogyo.sharepoint.com/:f:/s/kantou/Epu8gCXZjY9Nol21IOLi5ZoBHTGxm4ooD8E7Z2LLHh7jZg</t>
  </si>
  <si>
    <t>J-1</t>
  </si>
  <si>
    <t>Tr202405017245</t>
  </si>
  <si>
    <t>ステーツ(タツミ)</t>
  </si>
  <si>
    <t>【吊元一緒に納材】</t>
  </si>
  <si>
    <t>新潟県燕市吉田法花堂</t>
  </si>
  <si>
    <t>神代</t>
  </si>
  <si>
    <t>'0258-66-5709</t>
  </si>
  <si>
    <t>https://nskkogyo.sharepoint.com/:f:/s/kantou/Erts7ia_chFCraujgjefA5wB_5fg696kEA9m3XkWbojuqg</t>
  </si>
  <si>
    <t>J-3</t>
  </si>
  <si>
    <t>Tr202404266508</t>
  </si>
  <si>
    <t>㈱イシカワ(阪和)</t>
  </si>
  <si>
    <t>新潟県燕市吉田西太田</t>
  </si>
  <si>
    <t>'080-2281-7867</t>
  </si>
  <si>
    <t>https://nskkogyo.sharepoint.com/:f:/s/kantou/Engt-42TddhMgJ1UvOfucwMBBZki2zzeLo-AZQT0Z8IGlQ</t>
  </si>
  <si>
    <t>安藤明希</t>
  </si>
  <si>
    <t>J-4</t>
  </si>
  <si>
    <t>Tr202405149154</t>
  </si>
  <si>
    <t>㈱ステーツ</t>
  </si>
  <si>
    <t>【吊元納材済】</t>
  </si>
  <si>
    <t>新潟県加茂市下条</t>
  </si>
  <si>
    <t>宗村</t>
  </si>
  <si>
    <t>'080-2281-7970</t>
  </si>
  <si>
    <t>https://nskkogyo.sharepoint.com/:f:/s/kantou/Et7bcjaQ6aVGubP6Swn3r_IBSmRONzkdvLSr0VcgfurFPQ</t>
  </si>
  <si>
    <t>J-5</t>
  </si>
  <si>
    <t>RY202401309240</t>
  </si>
  <si>
    <t>山梨1</t>
  </si>
  <si>
    <t>ﾀﾏﾀｳﾝ下平井2号地</t>
  </si>
  <si>
    <t>山梨県笛吹市石和町下平井</t>
  </si>
  <si>
    <t>山梨</t>
  </si>
  <si>
    <t>'070-3798-0986</t>
  </si>
  <si>
    <t>https://nskkogyo.sharepoint.com/sites/2019/_layouts/15/viewer.aspx?sourcedoc={2e03c1a4-e19f-4ae7-8290-cd2e4d1accbc}</t>
  </si>
  <si>
    <t>C-2</t>
  </si>
  <si>
    <t>GO202403117347</t>
  </si>
  <si>
    <t>山梨県笛吹市石和町唐柏</t>
  </si>
  <si>
    <t>内田　一之</t>
  </si>
  <si>
    <t>'090-9873-3541</t>
  </si>
  <si>
    <t>https://nskkogyo.sharepoint.com/:f:/s/kantou/EmHMD4viviZInJQGa9PvmSUBZ3C5Js6B-QET02JQX93Esg?e=l2ecI5</t>
  </si>
  <si>
    <t>C-1</t>
  </si>
  <si>
    <t>V0202405170078</t>
  </si>
  <si>
    <t>長野1</t>
  </si>
  <si>
    <t>㈱アイダ設計</t>
  </si>
  <si>
    <t>長野市青木島町大塚23-P1-2号棟</t>
  </si>
  <si>
    <t>長野県長野市青木島町大塚</t>
  </si>
  <si>
    <t>長野</t>
  </si>
  <si>
    <t>佐藤大工</t>
  </si>
  <si>
    <t>'080-2012-5133</t>
  </si>
  <si>
    <t>寺田監督</t>
  </si>
  <si>
    <t>'080-9354-0930</t>
  </si>
  <si>
    <t>https://nskkogyo.sharepoint.com/:f:/s/2021/EoRfVd0moENMhYfdOU_W8vABwIIDAiA1RI4hJv-QXrtVLg?e=cFuXlG</t>
  </si>
  <si>
    <t>F</t>
  </si>
  <si>
    <t>F-4</t>
  </si>
  <si>
    <t>前面道路若干狭い</t>
  </si>
  <si>
    <t>長野県佐久市塚原</t>
  </si>
  <si>
    <t>'070-7473-8462</t>
  </si>
  <si>
    <t>https://nskkogyo.sharepoint.com/:f:/s/2019/EsAvhRM6XVhFphHkuKwGARABwDCSUhyrb9hlccixchxJiQ</t>
  </si>
  <si>
    <t>阿部千尋</t>
  </si>
  <si>
    <t>F-6</t>
  </si>
  <si>
    <t>V0202401197023</t>
  </si>
  <si>
    <t>東御市加沢22-P1-1号棟</t>
  </si>
  <si>
    <t>長野県東御市加沢</t>
  </si>
  <si>
    <t>森川大工</t>
  </si>
  <si>
    <t>'090-8593-7083</t>
  </si>
  <si>
    <t>服部監督</t>
  </si>
  <si>
    <t>'080-4157-7169</t>
  </si>
  <si>
    <t>https://nskkogyo.sharepoint.com/:f:/s/2021/Era6Q80rtwZFuJ6s0c0IZ2sBBWta8nRXrwom_yOjGd_grg?e=f2T4Bf</t>
  </si>
  <si>
    <t>F-5</t>
  </si>
  <si>
    <t>長野県諏訪郡原村柏木</t>
  </si>
  <si>
    <t>'090-6296-9322</t>
  </si>
  <si>
    <t>https://nskkogyo.sharepoint.com/:f:/s/2019/ErWsCwcnxRtAtD7iKIgnM_IBd_F00ESBXZ0t3V9CsYoLIw</t>
  </si>
  <si>
    <t>F-1</t>
  </si>
  <si>
    <t>㈱アルプスピアホーム</t>
  </si>
  <si>
    <t>軽天ビス25ｍｍ34巻　チャンネルカット【ネコチャン】</t>
  </si>
  <si>
    <t>長野県松本市平田西</t>
  </si>
  <si>
    <t>木下</t>
  </si>
  <si>
    <t>'080-7709-3286</t>
  </si>
  <si>
    <t>軽天ビス（25㎜）34巻</t>
  </si>
  <si>
    <t>https://nskkogyo.sharepoint.com/:f:/s/kantou/EpYIgOgtw_JLj55mJ2HsZ8gBW6DEZiadDkW21eWU3sgjpw</t>
  </si>
  <si>
    <t>F-2</t>
  </si>
  <si>
    <t>RY202402162847</t>
  </si>
  <si>
    <t>軽天ビス25ｍｍ37巻　チャンネルカット【ネコチャン】</t>
  </si>
  <si>
    <t>長野県安曇野市三郷温</t>
  </si>
  <si>
    <t>市田</t>
  </si>
  <si>
    <t>'090-5338-2721</t>
  </si>
  <si>
    <t>軽天ビス25ｍｍ37巻</t>
  </si>
  <si>
    <t>https://nskkogyo.sharepoint.com/sites/kantou/_layouts/15/viewer.aspx?sourcedoc={3df185aa-dbe8-4fa7-8714-3cea373df5be}</t>
  </si>
  <si>
    <t>F-3</t>
  </si>
  <si>
    <t>棟方優美子様邸</t>
  </si>
  <si>
    <t>奥谷弘之様邸</t>
  </si>
  <si>
    <t>相馬萌様邸</t>
  </si>
  <si>
    <t>路上駐車厳禁</t>
  </si>
  <si>
    <t>有川晃義</t>
  </si>
  <si>
    <t>松田拓郎様邸新築工事</t>
  </si>
  <si>
    <t>佐野恭平様･里香様邸新築工事</t>
  </si>
  <si>
    <t>２t車必須・キーBOXNo:0530</t>
  </si>
  <si>
    <t>KeyBox:3154</t>
  </si>
  <si>
    <t>野地吾勝様邸</t>
  </si>
  <si>
    <t>横田信美</t>
  </si>
  <si>
    <t>渡辺大祐</t>
  </si>
  <si>
    <t>㈱AQGroup</t>
  </si>
  <si>
    <t>三鷹市中原II期PJ2号棟新築工事</t>
  </si>
  <si>
    <t>保坂亮介/分譲事業部</t>
  </si>
  <si>
    <t>浦山るい</t>
  </si>
  <si>
    <t>町田市南つくし野2丁目2期No.3新築工事</t>
  </si>
  <si>
    <t>ｸﾞﾛｰﾌﾞﾀｳﾝ矢部町全6棟2号棟</t>
  </si>
  <si>
    <t>福生市熊川関口様邸新築工事</t>
  </si>
  <si>
    <t>大宮由紀様邸新築工事</t>
  </si>
  <si>
    <t>藤田昇悟様邸新築工事</t>
  </si>
  <si>
    <t>石井優</t>
  </si>
  <si>
    <t>ゲートNo	5963キーボックスNo	8170</t>
  </si>
  <si>
    <t>吉野美涼様･田谷香代子様邸新築工事</t>
  </si>
  <si>
    <t>竹中彬人様邸新築工事</t>
  </si>
  <si>
    <t>宇都宮市堀田隆秀様･峰子様邸新築工事</t>
  </si>
  <si>
    <t>渡邉和輝様邸新築工事</t>
  </si>
  <si>
    <t>キーボックス3188</t>
  </si>
  <si>
    <t>大篠巧明</t>
  </si>
  <si>
    <t>【省令準耐火構造】・防振　あり・目地　180枚【30枚ｘ6部屋分】.集合住宅　6部屋データ9</t>
  </si>
  <si>
    <t>キーボックス1748・【注意事項】あり・西側の南北に走る道路は、大型車進入禁止.集合住宅　6部屋データ9</t>
  </si>
  <si>
    <t>納期確定　Mタイプ　9部屋-集合住宅　9部屋データ9</t>
  </si>
  <si>
    <t>納期確定-集合住宅　9部屋データ9</t>
  </si>
  <si>
    <t>安藤龍之介様邸新築工事</t>
  </si>
  <si>
    <t>G岩沢14期3新築工事</t>
  </si>
  <si>
    <t>平岡孝</t>
  </si>
  <si>
    <t>G扇町屋3丁目4期1新築工事</t>
  </si>
  <si>
    <t>熊谷市石原第6期1号棟新築工事</t>
  </si>
  <si>
    <t>浅田康平</t>
  </si>
  <si>
    <t>JY03-74-0001新築工事</t>
  </si>
  <si>
    <t>桜井孝行様･亜希子様邸新築工事</t>
  </si>
  <si>
    <t>前川宗太</t>
  </si>
  <si>
    <t>森克文様邸新築工事</t>
  </si>
  <si>
    <t>本町3分譲ﾓﾃﾞﾙ新築工事</t>
  </si>
  <si>
    <t>吉田賢司様邸新築工事</t>
  </si>
  <si>
    <t>後藤晃様邸新築工事</t>
  </si>
  <si>
    <t>阿部和久</t>
  </si>
  <si>
    <t>小田大地様邸新築工事</t>
  </si>
  <si>
    <t>成田真弥</t>
  </si>
  <si>
    <t>金子豊悦様･金子梨佳子様邸新築工事</t>
  </si>
  <si>
    <t>ゲートNo5963　キーボックスNo3245</t>
  </si>
  <si>
    <t>田中貴様邸</t>
  </si>
  <si>
    <t>佐々木大地</t>
  </si>
  <si>
    <t>清水銀河様･清水里菜様邸</t>
  </si>
  <si>
    <t>清水弘樹</t>
  </si>
  <si>
    <t>JPH平田西一丁目A2様邸新築工事</t>
  </si>
  <si>
    <t>小池一弥様邸新築工事</t>
  </si>
  <si>
    <t>URL</t>
    <phoneticPr fontId="2"/>
  </si>
  <si>
    <t>有</t>
    <phoneticPr fontId="2"/>
  </si>
  <si>
    <t>無</t>
    <phoneticPr fontId="2"/>
  </si>
  <si>
    <t>有千</t>
    <phoneticPr fontId="2"/>
  </si>
  <si>
    <t>10:27:11AM</t>
  </si>
  <si>
    <t>階層</t>
    <rPh sb="0" eb="2">
      <t>カイソウ</t>
    </rPh>
    <phoneticPr fontId="2"/>
  </si>
  <si>
    <t>栃木工場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</si>
</sst>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m&quot;月&quot;d&quot;日&quot;;@"/>
    <numFmt numFmtId="177" formatCode="0;[Red]0"/>
    <numFmt numFmtId="178" formatCode="m/d;@"/>
  </numFmts>
  <fonts count="25">
    <font>
      <sz val="11"/>
      <color theme="1"/>
      <name val="Yu Gothic"/>
      <family val="2"/>
      <scheme val="minor"/>
    </font>
    <font>
      <sz val="11"/>
      <color theme="1"/>
      <name val="Yu Gothic"/>
      <family val="2"/>
      <charset val="128"/>
      <scheme val="minor"/>
    </font>
    <font>
      <sz val="6"/>
      <name val="Yu Gothic"/>
      <family val="3"/>
      <charset val="128"/>
      <scheme val="minor"/>
    </font>
    <font>
      <sz val="11"/>
      <color indexed="8"/>
      <name val="ＭＳ Ｐゴシック"/>
      <family val="3"/>
      <charset val="128"/>
    </font>
    <font>
      <sz val="9"/>
      <color indexed="8"/>
      <name val="ＭＳ Ｐゴシック"/>
      <family val="3"/>
      <charset val="128"/>
    </font>
    <font>
      <sz val="11"/>
      <color rgb="FF000000"/>
      <name val="ＭＳ Ｐゴシック"/>
      <family val="3"/>
      <charset val="128"/>
    </font>
    <font>
      <b/>
      <sz val="10"/>
      <color rgb="FFFF0000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sz val="11"/>
      <color rgb="FFFF0000"/>
      <name val="Yu Gothic"/>
      <family val="3"/>
      <charset val="128"/>
      <scheme val="minor"/>
    </font>
    <font>
      <sz val="11"/>
      <color rgb="FFFF0000"/>
      <name val="Yu Gothic"/>
      <family val="2"/>
      <scheme val="minor"/>
    </font>
    <font>
      <b/>
      <sz val="16"/>
      <color rgb="FFFFFF00"/>
      <name val="Yu Gothic"/>
      <family val="3"/>
      <charset val="128"/>
      <scheme val="minor"/>
    </font>
    <font>
      <sz val="9"/>
      <color indexed="81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sz val="11"/>
      <color theme="0" tint="-4.9989318521683403E-2"/>
      <name val="Yu Gothic"/>
      <family val="2"/>
      <scheme val="minor"/>
    </font>
    <font>
      <b/>
      <sz val="11"/>
      <color rgb="FFFF0000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1"/>
      <color theme="0" tint="-4.9989318521683403E-2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  <font>
      <u/>
      <sz val="11"/>
      <color theme="10"/>
      <name val="Yu Gothic"/>
      <family val="2"/>
      <scheme val="minor"/>
    </font>
    <font>
      <sz val="6"/>
      <name val="Yu Gothic"/>
      <family val="2"/>
      <charset val="128"/>
      <scheme val="minor"/>
    </font>
    <font>
      <b/>
      <sz val="11"/>
      <color rgb="FF000000"/>
      <name val="Yu Gothic"/>
      <family val="3"/>
      <charset val="128"/>
    </font>
    <font>
      <sz val="6"/>
      <name val="ＭＳ Ｐゴシック"/>
      <family val="3"/>
      <charset val="128"/>
    </font>
    <font>
      <sz val="9"/>
      <name val="ＭＳ Ｐゴシック"/>
      <family val="3"/>
      <charset val="128"/>
    </font>
    <font>
      <sz val="11"/>
      <color rgb="FFFF0000"/>
      <name val="ＭＳ Ｐゴシック"/>
      <family val="3"/>
      <charset val="128"/>
    </font>
    <font>
      <sz val="11"/>
      <color rgb="FF0070C0"/>
      <name val="ＭＳ Ｐゴシック"/>
      <family val="3"/>
      <charset val="128"/>
    </font>
  </fonts>
  <fills count="1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FF"/>
        <bgColor indexed="64"/>
      </patternFill>
    </fill>
  </fills>
  <borders count="7">
    <border>
      <left/>
      <right/>
      <top/>
      <bottom/>
      <diagonal/>
    </border>
    <border>
      <left style="thin">
        <color indexed="8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rgb="FFFF0000"/>
      </left>
      <right style="thick">
        <color rgb="FFFF0000"/>
      </right>
      <top style="thick">
        <color rgb="FFFF0000"/>
      </top>
      <bottom/>
      <diagonal/>
    </border>
    <border>
      <left style="thick">
        <color rgb="FFFF0000"/>
      </left>
      <right style="thick">
        <color rgb="FFFF0000"/>
      </right>
      <top/>
      <bottom style="thick">
        <color rgb="FFFF0000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3" fillId="0" borderId="0"/>
    <xf numFmtId="0" fontId="18" fillId="0" borderId="0" applyNumberFormat="0" applyFill="0" applyBorder="0" applyAlignment="0" applyProtection="0"/>
    <xf numFmtId="0" fontId="1" fillId="0" borderId="0">
      <alignment vertical="center"/>
    </xf>
  </cellStyleXfs>
  <cellXfs count="52">
    <xf numFmtId="0" fontId="0" fillId="0" borderId="0" xfId="0"/>
    <xf numFmtId="0" fontId="0" fillId="2" borderId="0" xfId="0" applyFill="1"/>
    <xf numFmtId="0" fontId="6" fillId="2" borderId="2" xfId="0" applyFont="1" applyFill="1" applyBorder="1" applyAlignment="1">
      <alignment horizontal="center" vertical="center"/>
    </xf>
    <xf numFmtId="0" fontId="8" fillId="0" borderId="0" xfId="0" applyFont="1"/>
    <xf numFmtId="0" fontId="0" fillId="0" borderId="0" xfId="0" applyAlignment="1">
      <alignment wrapText="1"/>
    </xf>
    <xf numFmtId="0" fontId="4" fillId="5" borderId="1" xfId="1" applyFont="1" applyFill="1" applyBorder="1" applyAlignment="1">
      <alignment horizontal="center"/>
    </xf>
    <xf numFmtId="0" fontId="9" fillId="0" borderId="0" xfId="0" applyFont="1"/>
    <xf numFmtId="0" fontId="9" fillId="2" borderId="2" xfId="0" applyFont="1" applyFill="1" applyBorder="1" applyAlignment="1">
      <alignment horizontal="center"/>
    </xf>
    <xf numFmtId="176" fontId="13" fillId="0" borderId="0" xfId="0" applyNumberFormat="1" applyFont="1" applyAlignment="1">
      <alignment horizontal="center" vertical="center"/>
    </xf>
    <xf numFmtId="0" fontId="13" fillId="0" borderId="0" xfId="0" applyFont="1"/>
    <xf numFmtId="0" fontId="16" fillId="0" borderId="0" xfId="0" applyFont="1"/>
    <xf numFmtId="176" fontId="0" fillId="0" borderId="0" xfId="0" applyNumberFormat="1" applyAlignment="1">
      <alignment horizontal="left"/>
    </xf>
    <xf numFmtId="0" fontId="9" fillId="0" borderId="0" xfId="0" applyFont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center" vertical="center"/>
    </xf>
    <xf numFmtId="0" fontId="15" fillId="7" borderId="0" xfId="0" applyFont="1" applyFill="1" applyAlignment="1">
      <alignment horizontal="center" vertical="center"/>
    </xf>
    <xf numFmtId="176" fontId="8" fillId="0" borderId="0" xfId="0" applyNumberFormat="1" applyFont="1" applyAlignment="1">
      <alignment horizontal="center" wrapText="1"/>
    </xf>
    <xf numFmtId="0" fontId="15" fillId="8" borderId="0" xfId="0" applyFont="1" applyFill="1" applyAlignment="1">
      <alignment horizontal="center" vertical="center"/>
    </xf>
    <xf numFmtId="19" fontId="0" fillId="0" borderId="0" xfId="0" applyNumberFormat="1"/>
    <xf numFmtId="0" fontId="17" fillId="0" borderId="0" xfId="0" applyFont="1" applyAlignment="1">
      <alignment vertical="center"/>
    </xf>
    <xf numFmtId="0" fontId="17" fillId="0" borderId="0" xfId="0" applyFont="1"/>
    <xf numFmtId="14" fontId="15" fillId="6" borderId="0" xfId="0" applyNumberFormat="1" applyFont="1" applyFill="1" applyAlignment="1">
      <alignment horizontal="center" vertical="center"/>
    </xf>
    <xf numFmtId="0" fontId="6" fillId="2" borderId="6" xfId="0" applyFont="1" applyFill="1" applyBorder="1" applyAlignment="1">
      <alignment horizontal="left" vertical="center"/>
    </xf>
    <xf numFmtId="176" fontId="14" fillId="2" borderId="6" xfId="0" applyNumberFormat="1" applyFont="1" applyFill="1" applyBorder="1" applyAlignment="1">
      <alignment horizontal="left" vertical="center"/>
    </xf>
    <xf numFmtId="176" fontId="15" fillId="3" borderId="6" xfId="0" applyNumberFormat="1" applyFont="1" applyFill="1" applyBorder="1" applyAlignment="1">
      <alignment horizontal="left" vertical="center"/>
    </xf>
    <xf numFmtId="14" fontId="0" fillId="0" borderId="0" xfId="0" applyNumberFormat="1"/>
    <xf numFmtId="0" fontId="7" fillId="0" borderId="0" xfId="0" applyFont="1"/>
    <xf numFmtId="177" fontId="0" fillId="0" borderId="0" xfId="0" applyNumberFormat="1"/>
    <xf numFmtId="176" fontId="8" fillId="0" borderId="0" xfId="0" applyNumberFormat="1" applyFont="1"/>
    <xf numFmtId="0" fontId="8" fillId="0" borderId="0" xfId="0" applyFont="1" applyAlignment="1">
      <alignment horizontal="center"/>
    </xf>
    <xf numFmtId="0" fontId="18" fillId="0" borderId="0" xfId="2"/>
    <xf numFmtId="0" fontId="0" fillId="0" borderId="0" xfId="0" applyAlignment="1">
      <alignment vertical="center"/>
    </xf>
    <xf numFmtId="0" fontId="4" fillId="0" borderId="5" xfId="1" applyFont="1" applyBorder="1" applyAlignment="1">
      <alignment horizontal="center"/>
    </xf>
    <xf numFmtId="0" fontId="0" fillId="9" borderId="0" xfId="0" applyFill="1"/>
    <xf numFmtId="0" fontId="8" fillId="0" borderId="0" xfId="0" applyFont="1" applyAlignment="1">
      <alignment horizontal="center" vertical="center"/>
    </xf>
    <xf numFmtId="0" fontId="7" fillId="0" borderId="0" xfId="0" applyFont="1" applyAlignment="1">
      <alignment horizontal="center"/>
    </xf>
    <xf numFmtId="0" fontId="1" fillId="2" borderId="0" xfId="3" applyFill="1">
      <alignment vertical="center"/>
    </xf>
    <xf numFmtId="0" fontId="1" fillId="0" borderId="0" xfId="3">
      <alignment vertical="center"/>
    </xf>
    <xf numFmtId="0" fontId="1" fillId="9" borderId="0" xfId="3" applyFill="1">
      <alignment vertical="center"/>
    </xf>
    <xf numFmtId="0" fontId="0" fillId="2" borderId="0" xfId="0" applyFill="1" applyAlignment="1">
      <alignment vertical="center"/>
    </xf>
    <xf numFmtId="14" fontId="0" fillId="2" borderId="0" xfId="0" applyNumberFormat="1" applyFill="1" applyAlignment="1">
      <alignment vertical="center"/>
    </xf>
    <xf numFmtId="0" fontId="22" fillId="2" borderId="0" xfId="0" applyFont="1" applyFill="1"/>
    <xf numFmtId="0" fontId="0" fillId="10" borderId="0" xfId="0" applyFill="1"/>
    <xf numFmtId="0" fontId="23" fillId="0" borderId="0" xfId="0" applyFont="1"/>
    <xf numFmtId="0" fontId="24" fillId="0" borderId="0" xfId="0" applyFont="1"/>
    <xf numFmtId="0" fontId="0" fillId="11" borderId="0" xfId="0" applyFill="1"/>
    <xf numFmtId="0" fontId="0" fillId="11" borderId="0" xfId="0" applyFill="1" applyAlignment="1">
      <alignment shrinkToFit="1"/>
    </xf>
    <xf numFmtId="178" fontId="0" fillId="11" borderId="0" xfId="0" applyNumberFormat="1" applyFill="1"/>
    <xf numFmtId="0" fontId="22" fillId="11" borderId="0" xfId="0" applyFont="1" applyFill="1"/>
    <xf numFmtId="0" fontId="10" fillId="4" borderId="3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176" fontId="10" fillId="4" borderId="0" xfId="0" applyNumberFormat="1" applyFont="1" applyFill="1" applyAlignment="1">
      <alignment horizontal="center" vertical="center"/>
    </xf>
  </cellXfs>
  <cellStyles count="4">
    <cellStyle name="Hyperlink" xfId="2" builtinId="8"/>
    <cellStyle name="Normal" xfId="0" builtinId="0"/>
    <cellStyle name="標準 2" xfId="3" xr:uid="{0F7A344D-2D22-4D9F-B18B-E97074BB4FFD}"/>
    <cellStyle name="標準_Sheet1_1" xfId="1" xr:uid="{00000000-0005-0000-0000-000001000000}"/>
  </cellStyles>
  <dxfs count="21">
    <dxf>
      <font>
        <b/>
        <i val="0"/>
        <strike val="0"/>
        <color theme="1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1"/>
      </font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14</xdr:row>
          <xdr:rowOff>47625</xdr:rowOff>
        </xdr:from>
        <xdr:to>
          <xdr:col>6</xdr:col>
          <xdr:colOff>3524250</xdr:colOff>
          <xdr:row>17</xdr:row>
          <xdr:rowOff>85725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未アップチェック</a:t>
              </a:r>
            </a:p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②</a:t>
              </a:r>
            </a:p>
          </xdr:txBody>
        </xdr:sp>
        <xdr:clientData/>
      </xdr:twoCellAnchor>
    </mc:Choice>
    <mc:Fallback/>
  </mc:AlternateContent>
  <xdr:twoCellAnchor>
    <xdr:from>
      <xdr:col>6</xdr:col>
      <xdr:colOff>14287</xdr:colOff>
      <xdr:row>7</xdr:row>
      <xdr:rowOff>239930</xdr:rowOff>
    </xdr:from>
    <xdr:to>
      <xdr:col>7</xdr:col>
      <xdr:colOff>8660</xdr:colOff>
      <xdr:row>11</xdr:row>
      <xdr:rowOff>43543</xdr:rowOff>
    </xdr:to>
    <xdr:sp macro="[0]!erasedata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1279765" y="1919794"/>
          <a:ext cx="3535940" cy="773431"/>
        </a:xfrm>
        <a:prstGeom prst="rect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chemeClr val="tx1"/>
              </a:solidFill>
            </a:rPr>
            <a:t>データリセット</a:t>
          </a:r>
          <a:endParaRPr kumimoji="1" lang="en-US" altLang="ja-JP" sz="1200" b="1">
            <a:solidFill>
              <a:schemeClr val="tx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114300</xdr:rowOff>
        </xdr:from>
        <xdr:to>
          <xdr:col>6</xdr:col>
          <xdr:colOff>3524250</xdr:colOff>
          <xdr:row>20</xdr:row>
          <xdr:rowOff>142875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未アップ記録する</a:t>
              </a:r>
            </a:p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③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11</xdr:row>
          <xdr:rowOff>28575</xdr:rowOff>
        </xdr:from>
        <xdr:to>
          <xdr:col>7</xdr:col>
          <xdr:colOff>0</xdr:colOff>
          <xdr:row>14</xdr:row>
          <xdr:rowOff>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0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配車表取り込み</a:t>
              </a:r>
            </a:p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676275</xdr:colOff>
          <xdr:row>1</xdr:row>
          <xdr:rowOff>219075</xdr:rowOff>
        </xdr:to>
        <xdr:sp macro="" textlink="">
          <xdr:nvSpPr>
            <xdr:cNvPr id="4123" name="Button 27" hidden="1">
              <a:extLst>
                <a:ext uri="{63B3BB69-23CF-44E3-9099-C40C66FF867C}">
                  <a14:compatExt spid="_x0000_s4123"/>
                </a:ext>
                <a:ext uri="{FF2B5EF4-FFF2-40B4-BE49-F238E27FC236}">
                  <a16:creationId xmlns:a16="http://schemas.microsoft.com/office/drawing/2014/main" id="{00000000-0008-0000-0000-00001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昇順</a:t>
              </a:r>
            </a:p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A</a:t>
              </a:r>
            </a:p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Z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20</xdr:row>
          <xdr:rowOff>180975</xdr:rowOff>
        </xdr:from>
        <xdr:to>
          <xdr:col>6</xdr:col>
          <xdr:colOff>3514725</xdr:colOff>
          <xdr:row>24</xdr:row>
          <xdr:rowOff>238125</xdr:rowOff>
        </xdr:to>
        <xdr:sp macro="" textlink="">
          <xdr:nvSpPr>
            <xdr:cNvPr id="4131" name="Button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0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Sort the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295275</xdr:colOff>
          <xdr:row>8</xdr:row>
          <xdr:rowOff>38100</xdr:rowOff>
        </xdr:from>
        <xdr:to>
          <xdr:col>29</xdr:col>
          <xdr:colOff>1181100</xdr:colOff>
          <xdr:row>11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配車振分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333375</xdr:colOff>
          <xdr:row>33</xdr:row>
          <xdr:rowOff>47625</xdr:rowOff>
        </xdr:from>
        <xdr:to>
          <xdr:col>29</xdr:col>
          <xdr:colOff>1257300</xdr:colOff>
          <xdr:row>35</xdr:row>
          <xdr:rowOff>104775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配送順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295275</xdr:colOff>
          <xdr:row>8</xdr:row>
          <xdr:rowOff>38100</xdr:rowOff>
        </xdr:from>
        <xdr:to>
          <xdr:col>29</xdr:col>
          <xdr:colOff>1181100</xdr:colOff>
          <xdr:row>11</xdr:row>
          <xdr:rowOff>152400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配車振分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333375</xdr:colOff>
          <xdr:row>33</xdr:row>
          <xdr:rowOff>47625</xdr:rowOff>
        </xdr:from>
        <xdr:to>
          <xdr:col>29</xdr:col>
          <xdr:colOff>1257300</xdr:colOff>
          <xdr:row>35</xdr:row>
          <xdr:rowOff>104775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配送順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295275</xdr:colOff>
          <xdr:row>8</xdr:row>
          <xdr:rowOff>38100</xdr:rowOff>
        </xdr:from>
        <xdr:to>
          <xdr:col>29</xdr:col>
          <xdr:colOff>1181100</xdr:colOff>
          <xdr:row>11</xdr:row>
          <xdr:rowOff>152400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配車振分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333375</xdr:colOff>
          <xdr:row>33</xdr:row>
          <xdr:rowOff>47625</xdr:rowOff>
        </xdr:from>
        <xdr:to>
          <xdr:col>29</xdr:col>
          <xdr:colOff>1257300</xdr:colOff>
          <xdr:row>35</xdr:row>
          <xdr:rowOff>104775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配送順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314325</xdr:colOff>
          <xdr:row>8</xdr:row>
          <xdr:rowOff>38100</xdr:rowOff>
        </xdr:from>
        <xdr:to>
          <xdr:col>29</xdr:col>
          <xdr:colOff>1257300</xdr:colOff>
          <xdr:row>11</xdr:row>
          <xdr:rowOff>152400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2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配車振分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352425</xdr:colOff>
          <xdr:row>33</xdr:row>
          <xdr:rowOff>47625</xdr:rowOff>
        </xdr:from>
        <xdr:to>
          <xdr:col>29</xdr:col>
          <xdr:colOff>1343025</xdr:colOff>
          <xdr:row>35</xdr:row>
          <xdr:rowOff>104775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2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配送順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314325</xdr:colOff>
          <xdr:row>8</xdr:row>
          <xdr:rowOff>38100</xdr:rowOff>
        </xdr:from>
        <xdr:to>
          <xdr:col>29</xdr:col>
          <xdr:colOff>1257300</xdr:colOff>
          <xdr:row>11</xdr:row>
          <xdr:rowOff>152400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2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配車振分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352425</xdr:colOff>
          <xdr:row>33</xdr:row>
          <xdr:rowOff>47625</xdr:rowOff>
        </xdr:from>
        <xdr:to>
          <xdr:col>29</xdr:col>
          <xdr:colOff>1343025</xdr:colOff>
          <xdr:row>35</xdr:row>
          <xdr:rowOff>104775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2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配送順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314325</xdr:colOff>
          <xdr:row>8</xdr:row>
          <xdr:rowOff>38100</xdr:rowOff>
        </xdr:from>
        <xdr:to>
          <xdr:col>29</xdr:col>
          <xdr:colOff>1257300</xdr:colOff>
          <xdr:row>11</xdr:row>
          <xdr:rowOff>152400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2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配車振分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352425</xdr:colOff>
          <xdr:row>33</xdr:row>
          <xdr:rowOff>47625</xdr:rowOff>
        </xdr:from>
        <xdr:to>
          <xdr:col>29</xdr:col>
          <xdr:colOff>1343025</xdr:colOff>
          <xdr:row>35</xdr:row>
          <xdr:rowOff>104775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2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配送順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</xdr:colOff>
          <xdr:row>0</xdr:row>
          <xdr:rowOff>9525</xdr:rowOff>
        </xdr:from>
        <xdr:to>
          <xdr:col>6</xdr:col>
          <xdr:colOff>676275</xdr:colOff>
          <xdr:row>1</xdr:row>
          <xdr:rowOff>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4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Filter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447675</xdr:colOff>
      <xdr:row>18</xdr:row>
      <xdr:rowOff>152400</xdr:rowOff>
    </xdr:from>
    <xdr:to>
      <xdr:col>11</xdr:col>
      <xdr:colOff>119062</xdr:colOff>
      <xdr:row>22</xdr:row>
      <xdr:rowOff>0</xdr:rowOff>
    </xdr:to>
    <xdr:grpSp>
      <xdr:nvGrpSpPr>
        <xdr:cNvPr id="2" name="グループ化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181975" y="4476750"/>
          <a:ext cx="2890837" cy="800100"/>
          <a:chOff x="6153150" y="1704975"/>
          <a:chExt cx="2681287" cy="839268"/>
        </a:xfrm>
      </xdr:grpSpPr>
      <xdr:sp macro="" textlink="">
        <xdr:nvSpPr>
          <xdr:cNvPr id="7" name="正方形/長方形 6">
            <a:extLst>
              <a:ext uri="{FF2B5EF4-FFF2-40B4-BE49-F238E27FC236}">
                <a16:creationId xmlns:a16="http://schemas.microsoft.com/office/drawing/2014/main" id="{00000000-0008-0000-0400-000007000000}"/>
              </a:ext>
            </a:extLst>
          </xdr:cNvPr>
          <xdr:cNvSpPr/>
        </xdr:nvSpPr>
        <xdr:spPr>
          <a:xfrm>
            <a:off x="6164962" y="1704975"/>
            <a:ext cx="2669475" cy="242680"/>
          </a:xfrm>
          <a:prstGeom prst="rect">
            <a:avLst/>
          </a:prstGeom>
          <a:solidFill>
            <a:srgbClr val="00B0F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kumimoji="1" lang="ja-JP" altLang="en-US" sz="1100" b="1">
                <a:solidFill>
                  <a:schemeClr val="tx1"/>
                </a:solidFill>
              </a:rPr>
              <a:t>　　　</a:t>
            </a:r>
            <a:r>
              <a:rPr kumimoji="1" lang="en-US" altLang="ja-JP" sz="1100" b="1">
                <a:solidFill>
                  <a:schemeClr val="tx1"/>
                </a:solidFill>
              </a:rPr>
              <a:t>15</a:t>
            </a:r>
            <a:r>
              <a:rPr kumimoji="1" lang="ja-JP" altLang="en-US" sz="1100" b="1">
                <a:solidFill>
                  <a:schemeClr val="tx1"/>
                </a:solidFill>
              </a:rPr>
              <a:t>時までにアップしたデータ</a:t>
            </a:r>
          </a:p>
        </xdr:txBody>
      </xdr:sp>
      <xdr:sp macro="" textlink="">
        <xdr:nvSpPr>
          <xdr:cNvPr id="8" name="正方形/長方形 7">
            <a:extLst>
              <a:ext uri="{FF2B5EF4-FFF2-40B4-BE49-F238E27FC236}">
                <a16:creationId xmlns:a16="http://schemas.microsoft.com/office/drawing/2014/main" id="{00000000-0008-0000-0400-000008000000}"/>
              </a:ext>
            </a:extLst>
          </xdr:cNvPr>
          <xdr:cNvSpPr/>
        </xdr:nvSpPr>
        <xdr:spPr>
          <a:xfrm>
            <a:off x="6153150" y="1991779"/>
            <a:ext cx="2669475" cy="253710"/>
          </a:xfrm>
          <a:prstGeom prst="rect">
            <a:avLst/>
          </a:prstGeom>
          <a:solidFill>
            <a:srgbClr val="92D05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kumimoji="1" lang="ja-JP" altLang="en-US" sz="1100" b="1">
                <a:solidFill>
                  <a:schemeClr val="tx1"/>
                </a:solidFill>
              </a:rPr>
              <a:t>　　　</a:t>
            </a:r>
            <a:r>
              <a:rPr kumimoji="1" lang="en-US" altLang="ja-JP" sz="1100" b="1">
                <a:solidFill>
                  <a:schemeClr val="tx1"/>
                </a:solidFill>
              </a:rPr>
              <a:t>15</a:t>
            </a:r>
            <a:r>
              <a:rPr kumimoji="1" lang="ja-JP" altLang="en-US" sz="1100" b="1">
                <a:solidFill>
                  <a:schemeClr val="tx1"/>
                </a:solidFill>
              </a:rPr>
              <a:t>時以降にアップしたデータ</a:t>
            </a:r>
          </a:p>
        </xdr:txBody>
      </xdr:sp>
      <xdr:sp macro="" textlink="">
        <xdr:nvSpPr>
          <xdr:cNvPr id="9" name="正方形/長方形 8">
            <a:extLst>
              <a:ext uri="{FF2B5EF4-FFF2-40B4-BE49-F238E27FC236}">
                <a16:creationId xmlns:a16="http://schemas.microsoft.com/office/drawing/2014/main" id="{00000000-0008-0000-0400-000009000000}"/>
              </a:ext>
            </a:extLst>
          </xdr:cNvPr>
          <xdr:cNvSpPr/>
        </xdr:nvSpPr>
        <xdr:spPr>
          <a:xfrm>
            <a:off x="6159055" y="2290532"/>
            <a:ext cx="2669475" cy="253711"/>
          </a:xfrm>
          <a:prstGeom prst="rect">
            <a:avLst/>
          </a:prstGeom>
          <a:solidFill>
            <a:schemeClr val="tx1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kumimoji="1" lang="ja-JP" altLang="en-US" sz="1100" b="1">
                <a:solidFill>
                  <a:schemeClr val="bg1"/>
                </a:solidFill>
              </a:rPr>
              <a:t>　　　　　延期になった案件</a:t>
            </a:r>
          </a:p>
        </xdr:txBody>
      </xdr:sp>
    </xdr:grp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llItems.aspx?slrid_212f689e_2Dd05c_2D5000_2Dd99e_2Dc01b3ab39bd9_RootFolder__2Fsites_2Fnsk_2FDocLib4_2F_E3_82_BF_E3_83_9E_E3_83_9B_E3_83_BC_E3_83_A0_2F74674_20_E9_AB_99_E6_A9_8B_20_E7_AB_A0_E5_8F_8B_8" connectionId="6" xr16:uid="{C1DD0262-6583-4401-A4D6-89E51B3AD385}" autoFormatId="20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llItems.aspx?slrid_212f689e_2Dd05c_2D5000_2Dd99e_2Dc01b3ab39bd9_RootFolder__2Fsites_2Fnsk_2FDocLib4_2F_E3_82_BF_E3_83_9E_E3_83_9B_E3_83_BC_E3_83_A0_2F74674_20_E9_AB_99_E6_A9_8B_20_E7_AB_A0_E5_8F_8B_5" connectionId="3" xr16:uid="{4B89C2F1-0F4F-4DAB-A1CD-50B416D8E939}" autoFormatId="20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llItems.aspx?slrid_212f689e_2Dd05c_2D5000_2Dd99e_2Dc01b3ab39bd9_RootFolder__2Fsites_2Fnsk_2FDocLib4_2F_E3_82_BF_E3_83_9E_E3_83_9B_E3_83_BC_E3_83_A0_2F74674_20_E9_AB_99_E6_A9_8B_20_E7_AB_A0_E5_8F_8B_6" connectionId="4" xr16:uid="{42466534-E4C1-41C2-A46D-CD26A63AFB63}" autoFormatId="20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llItems.aspx?slrid_212f689e_2Dd05c_2D5000_2Dd99e_2Dc01b3ab39bd9_RootFolder__2Fsites_2Fnsk_2FDocLib4_2F_E3_82_BF_E3_83_9E_E3_83_9B_E3_83_BC_E3_83_A0_2F74674_20_E9_AB_99_E6_A9_8B_20_E7_AB_A0_E5_8F_8B_4" connectionId="2" xr16:uid="{B52E326A-00C9-4525-A399-1C70B03A9467}" autoFormatId="20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llItems.aspx?slrid=212f689e%2Dd05c%2D5000%2Dd99e%2Dc01b3ab39bd9&amp;RootFolder=%2Fsites%2Fnsk%2FDocLib4%2F%E3%82%BF%E3%83%9E%E3%83%9B%E3%83%BC%E3%83%A0%2F74674%20%E9%AB%99%E6%A9%8B%20%E7%AB%A0%E5%8F%8B%" connectionId="1" xr16:uid="{D8182C08-94CC-4058-B636-C335AEA9971F}" autoFormatId="20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llItems.aspx?slrid_212f689e_2Dd05c_2D5000_2Dd99e_2Dc01b3ab39bd9_RootFolder__2Fsites_2Fnsk_2FDocLib4_2F_E3_82_BF_E3_83_9E_E3_83_9B_E3_83_BC_E3_83_A0_2F74674_20_E9_AB_99_E6_A9_8B_20_E7_AB_A0_E5_8F_8B_7" connectionId="5" xr16:uid="{0F3EE6A6-2CF6-4447-B675-0F30A62A23B3}" autoFormatId="2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3" Type="http://schemas.openxmlformats.org/officeDocument/2006/relationships/hyperlink" Target="https://nskkogyo.sharepoint.com/:x:/s/DQ/EdBQcpZT269IkzLktQLBROEBpq0WfMrQU_pFGGK67mbHnw?e=oELTgg" TargetMode="External"/><Relationship Id="rId7" Type="http://schemas.openxmlformats.org/officeDocument/2006/relationships/ctrlProp" Target="../ctrlProps/ctrlProp1.xml"/><Relationship Id="rId12" Type="http://schemas.openxmlformats.org/officeDocument/2006/relationships/comments" Target="../comments1.xml"/><Relationship Id="rId2" Type="http://schemas.openxmlformats.org/officeDocument/2006/relationships/hyperlink" Target="https://nskkogyo.sharepoint.com/sites/DQ/Lists/List5/AllItems.aspx" TargetMode="External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1.vml"/><Relationship Id="rId11" Type="http://schemas.openxmlformats.org/officeDocument/2006/relationships/ctrlProp" Target="../ctrlProps/ctrlProp5.xml"/><Relationship Id="rId5" Type="http://schemas.openxmlformats.org/officeDocument/2006/relationships/drawing" Target="../drawings/drawing1.xml"/><Relationship Id="rId10" Type="http://schemas.openxmlformats.org/officeDocument/2006/relationships/ctrlProp" Target="../ctrlProps/ctrlProp4.xml"/><Relationship Id="rId4" Type="http://schemas.openxmlformats.org/officeDocument/2006/relationships/printerSettings" Target="../printerSettings/printerSettings2.bin"/><Relationship Id="rId9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13" Type="http://schemas.openxmlformats.org/officeDocument/2006/relationships/ctrlProp" Target="../ctrlProps/ctrlProp14.xml"/><Relationship Id="rId18" Type="http://schemas.openxmlformats.org/officeDocument/2006/relationships/queryTable" Target="../queryTables/queryTable2.xml"/><Relationship Id="rId3" Type="http://schemas.openxmlformats.org/officeDocument/2006/relationships/drawing" Target="../drawings/drawing2.xml"/><Relationship Id="rId21" Type="http://schemas.openxmlformats.org/officeDocument/2006/relationships/queryTable" Target="../queryTables/queryTable5.xml"/><Relationship Id="rId7" Type="http://schemas.openxmlformats.org/officeDocument/2006/relationships/ctrlProp" Target="../ctrlProps/ctrlProp8.xml"/><Relationship Id="rId12" Type="http://schemas.openxmlformats.org/officeDocument/2006/relationships/ctrlProp" Target="../ctrlProps/ctrlProp13.xml"/><Relationship Id="rId17" Type="http://schemas.openxmlformats.org/officeDocument/2006/relationships/queryTable" Target="../queryTables/queryTable1.xml"/><Relationship Id="rId2" Type="http://schemas.openxmlformats.org/officeDocument/2006/relationships/printerSettings" Target="../printerSettings/printerSettings4.bin"/><Relationship Id="rId16" Type="http://schemas.openxmlformats.org/officeDocument/2006/relationships/ctrlProp" Target="../ctrlProps/ctrlProp17.xml"/><Relationship Id="rId20" Type="http://schemas.openxmlformats.org/officeDocument/2006/relationships/queryTable" Target="../queryTables/queryTable4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7.xml"/><Relationship Id="rId11" Type="http://schemas.openxmlformats.org/officeDocument/2006/relationships/ctrlProp" Target="../ctrlProps/ctrlProp12.xml"/><Relationship Id="rId5" Type="http://schemas.openxmlformats.org/officeDocument/2006/relationships/ctrlProp" Target="../ctrlProps/ctrlProp6.xml"/><Relationship Id="rId15" Type="http://schemas.openxmlformats.org/officeDocument/2006/relationships/ctrlProp" Target="../ctrlProps/ctrlProp16.xml"/><Relationship Id="rId10" Type="http://schemas.openxmlformats.org/officeDocument/2006/relationships/ctrlProp" Target="../ctrlProps/ctrlProp11.xml"/><Relationship Id="rId19" Type="http://schemas.openxmlformats.org/officeDocument/2006/relationships/queryTable" Target="../queryTables/queryTable3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10.xml"/><Relationship Id="rId14" Type="http://schemas.openxmlformats.org/officeDocument/2006/relationships/ctrlProp" Target="../ctrlProps/ctrlProp15.xml"/><Relationship Id="rId22" Type="http://schemas.openxmlformats.org/officeDocument/2006/relationships/queryTable" Target="../queryTables/queryTable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BF10000"/>
  <sheetViews>
    <sheetView tabSelected="1" zoomScale="60" zoomScaleNormal="60" workbookViewId="0">
      <selection activeCell="K16" sqref="K16"/>
    </sheetView>
  </sheetViews>
  <sheetFormatPr defaultRowHeight="18.75" customHeight="1"/>
  <cols>
    <col min="1" max="1" width="35.375" style="26" customWidth="1"/>
    <col min="2" max="2" width="60.75" customWidth="1"/>
    <col min="3" max="3" width="9" style="27"/>
    <col min="4" max="4" width="14.125" bestFit="1" customWidth="1"/>
    <col min="5" max="5" width="10.75" customWidth="1"/>
    <col min="6" max="6" width="17.875" customWidth="1"/>
    <col min="7" max="7" width="46.5" bestFit="1" customWidth="1"/>
    <col min="9" max="9" width="9" style="35"/>
    <col min="10" max="10" width="15.5" style="26" bestFit="1" customWidth="1"/>
    <col min="11" max="11" width="29.5" style="26" bestFit="1" customWidth="1"/>
    <col min="12" max="12" width="9" style="26"/>
    <col min="13" max="13" width="65.25" style="26" customWidth="1"/>
    <col min="14" max="15" width="9" style="3"/>
    <col min="16" max="16" width="17.625" style="3" customWidth="1"/>
    <col min="17" max="17" width="10.25" style="29" customWidth="1"/>
    <col min="18" max="18" width="9" style="34"/>
    <col min="19" max="58" width="9" style="3"/>
  </cols>
  <sheetData>
    <row r="1" spans="1:58" ht="18.75" customHeight="1">
      <c r="B1" s="14"/>
      <c r="G1" t="s">
        <v>386</v>
      </c>
      <c r="I1" s="2" t="s">
        <v>583</v>
      </c>
      <c r="J1" s="2" t="s">
        <v>584</v>
      </c>
      <c r="K1" s="2" t="s">
        <v>585</v>
      </c>
      <c r="L1" s="2" t="s">
        <v>586</v>
      </c>
      <c r="M1" s="7" t="s">
        <v>587</v>
      </c>
      <c r="N1" s="29" t="s">
        <v>588</v>
      </c>
      <c r="O1" s="29" t="s">
        <v>589</v>
      </c>
      <c r="P1" s="29" t="s">
        <v>1195</v>
      </c>
      <c r="Q1" s="29" t="s">
        <v>1200</v>
      </c>
      <c r="R1" s="34" t="s">
        <v>579</v>
      </c>
      <c r="S1" s="3" t="s">
        <v>389</v>
      </c>
      <c r="T1" s="30" t="s">
        <v>388</v>
      </c>
    </row>
    <row r="2" spans="1:58" ht="18.75" customHeight="1">
      <c r="A2"/>
      <c r="D2" s="27"/>
      <c r="G2" s="4" t="s">
        <v>385</v>
      </c>
      <c r="N2" s="28">
        <f t="shared" ref="N2:N33" si="0">$G$7</f>
        <v>45453</v>
      </c>
      <c r="O2" s="3" t="s">
        <v>1201</v>
      </c>
      <c r="R2" s="34" t="s">
        <v>1196</v>
      </c>
      <c r="S2" s="3" t="s">
        <v>390</v>
      </c>
      <c r="T2" s="30" t="s">
        <v>578</v>
      </c>
      <c r="BB2"/>
      <c r="BC2"/>
      <c r="BD2"/>
      <c r="BE2"/>
      <c r="BF2"/>
    </row>
    <row r="3" spans="1:58" ht="18.75" customHeight="1">
      <c r="A3"/>
      <c r="D3" s="27"/>
      <c r="N3" s="28">
        <f t="shared" si="0"/>
        <v>45453</v>
      </c>
      <c r="O3" s="3" t="s">
        <v>1201</v>
      </c>
      <c r="R3" s="34" t="s">
        <v>1196</v>
      </c>
      <c r="T3" s="36" t="s">
        <v>580</v>
      </c>
    </row>
    <row r="4" spans="1:58" ht="18.75" customHeight="1" thickBot="1">
      <c r="A4"/>
      <c r="D4" s="27"/>
      <c r="F4" s="9"/>
      <c r="G4" s="10" t="s">
        <v>158</v>
      </c>
      <c r="N4" s="28">
        <f t="shared" si="0"/>
        <v>45453</v>
      </c>
      <c r="O4" s="3" t="s">
        <v>1201</v>
      </c>
      <c r="R4" s="34" t="s">
        <v>1196</v>
      </c>
      <c r="T4" s="37" t="s">
        <v>581</v>
      </c>
    </row>
    <row r="5" spans="1:58" ht="19.5" thickTop="1">
      <c r="A5"/>
      <c r="D5" s="27"/>
      <c r="G5" s="49" t="s">
        <v>387</v>
      </c>
      <c r="N5" s="28">
        <f t="shared" si="0"/>
        <v>45453</v>
      </c>
      <c r="O5" s="3" t="s">
        <v>1201</v>
      </c>
      <c r="R5" s="34" t="s">
        <v>1197</v>
      </c>
      <c r="T5" s="38" t="s">
        <v>582</v>
      </c>
    </row>
    <row r="6" spans="1:58" ht="18.75" customHeight="1" thickBot="1">
      <c r="A6"/>
      <c r="D6" s="27"/>
      <c r="G6" s="50"/>
      <c r="N6" s="28">
        <f t="shared" si="0"/>
        <v>45453</v>
      </c>
      <c r="O6" s="3" t="s">
        <v>1201</v>
      </c>
      <c r="R6" s="34" t="s">
        <v>1197</v>
      </c>
    </row>
    <row r="7" spans="1:58" ht="18.75" customHeight="1" thickTop="1">
      <c r="A7"/>
      <c r="D7" s="27"/>
      <c r="G7" s="51">
        <f>Sheet2!P2</f>
        <v>45453</v>
      </c>
      <c r="N7" s="28">
        <f t="shared" si="0"/>
        <v>45453</v>
      </c>
      <c r="O7" s="3" t="s">
        <v>1201</v>
      </c>
      <c r="R7" s="34" t="s">
        <v>1197</v>
      </c>
    </row>
    <row r="8" spans="1:58" ht="18.75" customHeight="1">
      <c r="A8"/>
      <c r="D8" s="27"/>
      <c r="G8" s="51"/>
      <c r="N8" s="28">
        <f t="shared" si="0"/>
        <v>45453</v>
      </c>
      <c r="O8" s="3" t="s">
        <v>1201</v>
      </c>
      <c r="R8" s="34" t="s">
        <v>1196</v>
      </c>
    </row>
    <row r="9" spans="1:58" ht="18.75" customHeight="1">
      <c r="A9"/>
      <c r="D9" s="27"/>
      <c r="N9" s="28">
        <f t="shared" si="0"/>
        <v>45453</v>
      </c>
      <c r="O9" s="3" t="s">
        <v>1201</v>
      </c>
      <c r="R9" s="34" t="s">
        <v>1196</v>
      </c>
      <c r="BB9"/>
      <c r="BC9"/>
      <c r="BD9"/>
      <c r="BE9"/>
      <c r="BF9"/>
    </row>
    <row r="10" spans="1:58" ht="18.75" customHeight="1">
      <c r="A10"/>
      <c r="D10" s="27"/>
      <c r="N10" s="28">
        <f t="shared" si="0"/>
        <v>45453</v>
      </c>
      <c r="O10" s="3" t="s">
        <v>1201</v>
      </c>
      <c r="R10" s="34" t="s">
        <v>1196</v>
      </c>
      <c r="BB10"/>
      <c r="BC10"/>
      <c r="BD10"/>
      <c r="BE10"/>
      <c r="BF10"/>
    </row>
    <row r="11" spans="1:58" ht="18.75" customHeight="1">
      <c r="A11"/>
      <c r="D11" s="27"/>
      <c r="N11" s="28">
        <f t="shared" si="0"/>
        <v>45453</v>
      </c>
      <c r="O11" s="3" t="s">
        <v>1201</v>
      </c>
      <c r="R11" s="34" t="s">
        <v>1197</v>
      </c>
    </row>
    <row r="12" spans="1:58" ht="18.75" customHeight="1">
      <c r="A12"/>
      <c r="D12" s="27"/>
      <c r="N12" s="28">
        <f t="shared" si="0"/>
        <v>45453</v>
      </c>
      <c r="O12" s="3" t="s">
        <v>1201</v>
      </c>
      <c r="R12" s="34" t="s">
        <v>1198</v>
      </c>
    </row>
    <row r="13" spans="1:58" ht="18.75" customHeight="1">
      <c r="A13"/>
      <c r="D13" s="27"/>
      <c r="N13" s="28">
        <f t="shared" si="0"/>
        <v>45453</v>
      </c>
      <c r="O13" s="3" t="s">
        <v>1201</v>
      </c>
      <c r="R13" s="34" t="s">
        <v>1197</v>
      </c>
    </row>
    <row r="14" spans="1:58" ht="18.75" customHeight="1">
      <c r="A14"/>
      <c r="D14" s="27"/>
      <c r="N14" s="28">
        <f t="shared" si="0"/>
        <v>45453</v>
      </c>
      <c r="O14" s="3" t="s">
        <v>1201</v>
      </c>
      <c r="R14" s="34" t="s">
        <v>1197</v>
      </c>
    </row>
    <row r="15" spans="1:58" ht="18.75" customHeight="1">
      <c r="A15"/>
      <c r="D15" s="27"/>
      <c r="N15" s="28">
        <f t="shared" si="0"/>
        <v>45453</v>
      </c>
      <c r="O15" s="3" t="s">
        <v>1201</v>
      </c>
      <c r="R15" s="34" t="s">
        <v>1197</v>
      </c>
    </row>
    <row r="16" spans="1:58" ht="18.75" customHeight="1">
      <c r="A16"/>
      <c r="D16" s="27"/>
      <c r="N16" s="28">
        <f t="shared" si="0"/>
        <v>45453</v>
      </c>
      <c r="O16" s="3" t="s">
        <v>1201</v>
      </c>
      <c r="R16" s="34" t="s">
        <v>1197</v>
      </c>
    </row>
    <row r="17" spans="1:18" ht="18.75" customHeight="1">
      <c r="A17"/>
      <c r="D17" s="27"/>
      <c r="N17" s="28">
        <f t="shared" si="0"/>
        <v>45453</v>
      </c>
      <c r="O17" s="3" t="s">
        <v>1201</v>
      </c>
      <c r="R17" s="34" t="s">
        <v>1197</v>
      </c>
    </row>
    <row r="18" spans="1:18" ht="18.75" customHeight="1">
      <c r="A18"/>
      <c r="D18" s="27"/>
      <c r="N18" s="28">
        <f t="shared" si="0"/>
        <v>45453</v>
      </c>
      <c r="O18" s="3" t="s">
        <v>1201</v>
      </c>
      <c r="R18" s="34" t="s">
        <v>1197</v>
      </c>
    </row>
    <row r="19" spans="1:18" ht="18.75" customHeight="1">
      <c r="A19"/>
      <c r="D19" s="27"/>
      <c r="N19" s="28">
        <f t="shared" si="0"/>
        <v>45453</v>
      </c>
      <c r="O19" s="3" t="s">
        <v>1201</v>
      </c>
      <c r="R19" s="34" t="s">
        <v>1196</v>
      </c>
    </row>
    <row r="20" spans="1:18" ht="18.75" customHeight="1">
      <c r="A20"/>
      <c r="D20" s="27"/>
      <c r="N20" s="28">
        <f t="shared" si="0"/>
        <v>45453</v>
      </c>
      <c r="O20" s="3" t="s">
        <v>1201</v>
      </c>
      <c r="R20" s="34" t="s">
        <v>1196</v>
      </c>
    </row>
    <row r="21" spans="1:18" ht="18.75" customHeight="1">
      <c r="A21"/>
      <c r="D21" s="27"/>
      <c r="N21" s="28">
        <f t="shared" si="0"/>
        <v>45453</v>
      </c>
      <c r="O21" s="3" t="s">
        <v>1201</v>
      </c>
      <c r="R21" s="34" t="s">
        <v>1196</v>
      </c>
    </row>
    <row r="22" spans="1:18" ht="18.75" customHeight="1">
      <c r="A22"/>
      <c r="D22" s="27"/>
      <c r="N22" s="28">
        <f t="shared" si="0"/>
        <v>45453</v>
      </c>
      <c r="O22" s="3" t="s">
        <v>1201</v>
      </c>
      <c r="R22" s="34" t="s">
        <v>1197</v>
      </c>
    </row>
    <row r="23" spans="1:18" ht="18.75" customHeight="1">
      <c r="A23"/>
      <c r="D23" s="27"/>
      <c r="N23" s="28">
        <f t="shared" si="0"/>
        <v>45453</v>
      </c>
      <c r="O23" s="3" t="s">
        <v>1201</v>
      </c>
      <c r="R23" s="34" t="s">
        <v>1197</v>
      </c>
    </row>
    <row r="24" spans="1:18" ht="18.75" customHeight="1">
      <c r="A24"/>
      <c r="D24" s="27"/>
      <c r="N24" s="28">
        <f t="shared" si="0"/>
        <v>45453</v>
      </c>
      <c r="O24" s="3" t="s">
        <v>1201</v>
      </c>
      <c r="R24" s="34" t="s">
        <v>1197</v>
      </c>
    </row>
    <row r="25" spans="1:18" ht="18.75" customHeight="1">
      <c r="A25"/>
      <c r="D25" s="27"/>
      <c r="N25" s="28">
        <f t="shared" si="0"/>
        <v>45453</v>
      </c>
      <c r="O25" s="3" t="s">
        <v>1201</v>
      </c>
      <c r="R25" s="34" t="s">
        <v>1197</v>
      </c>
    </row>
    <row r="26" spans="1:18">
      <c r="A26"/>
      <c r="D26" s="27"/>
      <c r="N26" s="28">
        <f t="shared" si="0"/>
        <v>45453</v>
      </c>
      <c r="O26" s="3" t="s">
        <v>1201</v>
      </c>
      <c r="R26" s="34" t="s">
        <v>1196</v>
      </c>
    </row>
    <row r="27" spans="1:18">
      <c r="A27"/>
      <c r="D27" s="27"/>
      <c r="N27" s="28">
        <f t="shared" si="0"/>
        <v>45453</v>
      </c>
      <c r="O27" s="3" t="s">
        <v>1201</v>
      </c>
      <c r="R27" s="34" t="s">
        <v>1197</v>
      </c>
    </row>
    <row r="28" spans="1:18" ht="18.75" customHeight="1">
      <c r="A28"/>
      <c r="D28" s="27"/>
      <c r="N28" s="28">
        <f t="shared" si="0"/>
        <v>45453</v>
      </c>
      <c r="O28" s="3" t="s">
        <v>1201</v>
      </c>
      <c r="R28" s="34" t="s">
        <v>1197</v>
      </c>
    </row>
    <row r="29" spans="1:18" ht="18.75" customHeight="1">
      <c r="A29"/>
      <c r="D29" s="27"/>
      <c r="N29" s="28">
        <f t="shared" si="0"/>
        <v>45453</v>
      </c>
      <c r="O29" s="3" t="s">
        <v>1201</v>
      </c>
      <c r="R29" s="34" t="s">
        <v>1197</v>
      </c>
    </row>
    <row r="30" spans="1:18" ht="18.75" customHeight="1">
      <c r="A30"/>
      <c r="D30" s="27"/>
      <c r="G30" s="18"/>
      <c r="N30" s="28">
        <f t="shared" si="0"/>
        <v>45453</v>
      </c>
      <c r="O30" s="3" t="s">
        <v>1201</v>
      </c>
      <c r="R30" s="34" t="s">
        <v>1197</v>
      </c>
    </row>
    <row r="31" spans="1:18" ht="18.75" customHeight="1">
      <c r="A31"/>
      <c r="D31" s="27"/>
      <c r="G31" s="18" t="s">
        <v>1199</v>
      </c>
      <c r="N31" s="28">
        <f t="shared" si="0"/>
        <v>45453</v>
      </c>
      <c r="O31" s="3" t="s">
        <v>1201</v>
      </c>
      <c r="R31" s="34" t="s">
        <v>1197</v>
      </c>
    </row>
    <row r="32" spans="1:18" ht="18.75" customHeight="1">
      <c r="A32"/>
      <c r="D32" s="27"/>
      <c r="N32" s="28">
        <f t="shared" si="0"/>
        <v>45453</v>
      </c>
      <c r="O32" s="3" t="s">
        <v>1201</v>
      </c>
      <c r="R32" s="34" t="s">
        <v>1197</v>
      </c>
    </row>
    <row r="33" spans="1:18" ht="18.75" customHeight="1">
      <c r="A33"/>
      <c r="D33" s="27"/>
      <c r="N33" s="28">
        <f t="shared" si="0"/>
        <v>45453</v>
      </c>
      <c r="O33" s="3" t="s">
        <v>1201</v>
      </c>
      <c r="R33" s="34" t="s">
        <v>1197</v>
      </c>
    </row>
    <row r="34" spans="1:18" ht="18.75" customHeight="1">
      <c r="A34"/>
      <c r="D34" s="27"/>
      <c r="N34" s="28">
        <f t="shared" ref="N34:N65" si="1">$G$7</f>
        <v>45453</v>
      </c>
      <c r="O34" s="3" t="s">
        <v>1201</v>
      </c>
      <c r="R34" s="34" t="s">
        <v>1197</v>
      </c>
    </row>
    <row r="35" spans="1:18" ht="18.75" customHeight="1">
      <c r="A35"/>
      <c r="D35" s="27"/>
      <c r="N35" s="28">
        <f t="shared" si="1"/>
        <v>45453</v>
      </c>
      <c r="O35" s="3" t="s">
        <v>1201</v>
      </c>
      <c r="R35" s="34" t="s">
        <v>1197</v>
      </c>
    </row>
    <row r="36" spans="1:18" ht="18.75" customHeight="1">
      <c r="A36"/>
      <c r="D36" s="27"/>
      <c r="N36" s="28">
        <f t="shared" si="1"/>
        <v>45453</v>
      </c>
      <c r="O36" s="3" t="s">
        <v>1201</v>
      </c>
      <c r="R36" s="34" t="s">
        <v>1197</v>
      </c>
    </row>
    <row r="37" spans="1:18" ht="18.75" customHeight="1">
      <c r="A37"/>
      <c r="D37" s="27"/>
      <c r="N37" s="28">
        <f t="shared" si="1"/>
        <v>45453</v>
      </c>
      <c r="O37" s="3" t="s">
        <v>1201</v>
      </c>
      <c r="R37" s="34" t="s">
        <v>1197</v>
      </c>
    </row>
    <row r="38" spans="1:18" ht="18.75" customHeight="1">
      <c r="A38"/>
      <c r="D38" s="27"/>
      <c r="N38" s="28">
        <f t="shared" si="1"/>
        <v>45453</v>
      </c>
      <c r="O38" s="3" t="s">
        <v>1201</v>
      </c>
      <c r="R38" s="34" t="s">
        <v>1197</v>
      </c>
    </row>
    <row r="39" spans="1:18" ht="18.75" customHeight="1">
      <c r="A39"/>
      <c r="D39" s="27"/>
      <c r="N39" s="28">
        <f t="shared" si="1"/>
        <v>45453</v>
      </c>
      <c r="O39" s="3" t="s">
        <v>1201</v>
      </c>
      <c r="R39" s="34" t="s">
        <v>1197</v>
      </c>
    </row>
    <row r="40" spans="1:18" ht="18.75" customHeight="1">
      <c r="A40"/>
      <c r="D40" s="27"/>
      <c r="N40" s="28">
        <f t="shared" si="1"/>
        <v>45453</v>
      </c>
      <c r="O40" s="3" t="s">
        <v>1201</v>
      </c>
      <c r="R40" s="34" t="s">
        <v>1197</v>
      </c>
    </row>
    <row r="41" spans="1:18" ht="18.75" customHeight="1">
      <c r="A41"/>
      <c r="D41" s="27"/>
      <c r="N41" s="28">
        <f t="shared" si="1"/>
        <v>45453</v>
      </c>
      <c r="O41" s="3" t="s">
        <v>1201</v>
      </c>
      <c r="R41" s="34" t="s">
        <v>1196</v>
      </c>
    </row>
    <row r="42" spans="1:18" ht="18.75" customHeight="1">
      <c r="A42"/>
      <c r="D42" s="27"/>
      <c r="N42" s="28">
        <f t="shared" si="1"/>
        <v>45453</v>
      </c>
      <c r="O42" s="3" t="s">
        <v>1201</v>
      </c>
      <c r="R42" s="34" t="s">
        <v>1196</v>
      </c>
    </row>
    <row r="43" spans="1:18" ht="18.75" customHeight="1">
      <c r="A43"/>
      <c r="D43" s="27"/>
      <c r="N43" s="28">
        <f t="shared" si="1"/>
        <v>45453</v>
      </c>
      <c r="O43" s="3" t="s">
        <v>1201</v>
      </c>
      <c r="R43" s="34" t="s">
        <v>1197</v>
      </c>
    </row>
    <row r="44" spans="1:18" ht="18.75" customHeight="1">
      <c r="A44"/>
      <c r="D44" s="27"/>
      <c r="N44" s="28">
        <f t="shared" si="1"/>
        <v>45453</v>
      </c>
      <c r="O44" s="3" t="s">
        <v>1201</v>
      </c>
      <c r="R44" s="34" t="s">
        <v>1196</v>
      </c>
    </row>
    <row r="45" spans="1:18" ht="18.75" customHeight="1">
      <c r="A45"/>
      <c r="D45" s="27"/>
      <c r="N45" s="28">
        <f t="shared" si="1"/>
        <v>45453</v>
      </c>
      <c r="O45" s="3" t="s">
        <v>1201</v>
      </c>
      <c r="R45" s="34" t="s">
        <v>1197</v>
      </c>
    </row>
    <row r="46" spans="1:18" ht="18.75" customHeight="1">
      <c r="A46"/>
      <c r="D46" s="27"/>
      <c r="N46" s="28">
        <f t="shared" si="1"/>
        <v>45453</v>
      </c>
      <c r="O46" s="3" t="s">
        <v>1201</v>
      </c>
      <c r="R46" s="34" t="s">
        <v>1197</v>
      </c>
    </row>
    <row r="47" spans="1:18" ht="18.75" customHeight="1">
      <c r="A47"/>
      <c r="D47" s="27"/>
      <c r="N47" s="28">
        <f t="shared" si="1"/>
        <v>45453</v>
      </c>
      <c r="O47" s="3" t="s">
        <v>1201</v>
      </c>
      <c r="R47" s="34" t="s">
        <v>1197</v>
      </c>
    </row>
    <row r="48" spans="1:18" ht="18.75" customHeight="1">
      <c r="A48"/>
      <c r="D48" s="27"/>
      <c r="N48" s="28">
        <f t="shared" si="1"/>
        <v>45453</v>
      </c>
      <c r="O48" s="3" t="s">
        <v>1201</v>
      </c>
      <c r="R48" s="34" t="s">
        <v>1197</v>
      </c>
    </row>
    <row r="49" spans="1:18" ht="18.75" customHeight="1">
      <c r="A49"/>
      <c r="D49" s="27"/>
      <c r="N49" s="28">
        <f t="shared" si="1"/>
        <v>45453</v>
      </c>
      <c r="O49" s="3" t="s">
        <v>1201</v>
      </c>
      <c r="R49" s="34" t="s">
        <v>1197</v>
      </c>
    </row>
    <row r="50" spans="1:18" ht="18.75" customHeight="1">
      <c r="A50"/>
      <c r="D50" s="27"/>
      <c r="N50" s="28">
        <f t="shared" si="1"/>
        <v>45453</v>
      </c>
      <c r="O50" s="3" t="s">
        <v>1201</v>
      </c>
      <c r="R50" s="34" t="s">
        <v>1197</v>
      </c>
    </row>
    <row r="51" spans="1:18" ht="18.75" customHeight="1">
      <c r="A51"/>
      <c r="D51" s="27"/>
      <c r="N51" s="28">
        <f t="shared" si="1"/>
        <v>45453</v>
      </c>
      <c r="O51" s="3" t="s">
        <v>1201</v>
      </c>
      <c r="R51" s="34" t="s">
        <v>1197</v>
      </c>
    </row>
    <row r="52" spans="1:18" ht="18.75" customHeight="1">
      <c r="A52"/>
      <c r="D52" s="27"/>
      <c r="N52" s="28">
        <f t="shared" si="1"/>
        <v>45453</v>
      </c>
      <c r="O52" s="3" t="s">
        <v>1201</v>
      </c>
      <c r="R52" s="34" t="s">
        <v>1197</v>
      </c>
    </row>
    <row r="53" spans="1:18" ht="18.75" customHeight="1">
      <c r="A53"/>
      <c r="D53" s="27"/>
      <c r="N53" s="28">
        <f t="shared" si="1"/>
        <v>45453</v>
      </c>
      <c r="O53" s="3" t="s">
        <v>1201</v>
      </c>
      <c r="R53" s="34" t="s">
        <v>1197</v>
      </c>
    </row>
    <row r="54" spans="1:18" ht="18.75" customHeight="1">
      <c r="A54"/>
      <c r="D54" s="27"/>
      <c r="N54" s="28">
        <f t="shared" si="1"/>
        <v>45453</v>
      </c>
      <c r="O54" s="3" t="s">
        <v>1201</v>
      </c>
      <c r="R54" s="34" t="s">
        <v>1197</v>
      </c>
    </row>
    <row r="55" spans="1:18" ht="18.75" customHeight="1">
      <c r="A55"/>
      <c r="D55" s="27"/>
      <c r="N55" s="28">
        <f t="shared" si="1"/>
        <v>45453</v>
      </c>
      <c r="O55" s="3" t="s">
        <v>1201</v>
      </c>
      <c r="R55" s="34" t="s">
        <v>1197</v>
      </c>
    </row>
    <row r="56" spans="1:18" ht="18.75" customHeight="1">
      <c r="A56"/>
      <c r="D56" s="27"/>
      <c r="N56" s="28">
        <f t="shared" si="1"/>
        <v>45453</v>
      </c>
      <c r="O56" s="3" t="s">
        <v>1201</v>
      </c>
      <c r="R56" s="34" t="s">
        <v>1197</v>
      </c>
    </row>
    <row r="57" spans="1:18" ht="18.75" customHeight="1">
      <c r="A57"/>
      <c r="D57" s="27"/>
      <c r="N57" s="28">
        <f t="shared" si="1"/>
        <v>45453</v>
      </c>
      <c r="O57" s="3" t="s">
        <v>1201</v>
      </c>
      <c r="R57" s="34" t="s">
        <v>1197</v>
      </c>
    </row>
    <row r="58" spans="1:18" ht="18.75" customHeight="1">
      <c r="A58"/>
      <c r="D58" s="27"/>
      <c r="N58" s="28">
        <f t="shared" si="1"/>
        <v>45453</v>
      </c>
      <c r="O58" s="3" t="s">
        <v>1201</v>
      </c>
      <c r="R58" s="34" t="s">
        <v>1197</v>
      </c>
    </row>
    <row r="59" spans="1:18" ht="18.75" customHeight="1">
      <c r="A59"/>
      <c r="D59" s="27"/>
      <c r="N59" s="28">
        <f t="shared" si="1"/>
        <v>45453</v>
      </c>
      <c r="O59" s="3" t="s">
        <v>1201</v>
      </c>
      <c r="R59" s="34" t="s">
        <v>1196</v>
      </c>
    </row>
    <row r="60" spans="1:18" ht="18.75" customHeight="1">
      <c r="A60"/>
      <c r="D60" s="27"/>
      <c r="N60" s="28">
        <f t="shared" si="1"/>
        <v>45453</v>
      </c>
      <c r="O60" s="3" t="s">
        <v>1201</v>
      </c>
      <c r="R60" s="34" t="s">
        <v>1196</v>
      </c>
    </row>
    <row r="61" spans="1:18" ht="18.75" customHeight="1">
      <c r="A61"/>
      <c r="D61" s="27"/>
      <c r="N61" s="28">
        <f t="shared" si="1"/>
        <v>45453</v>
      </c>
      <c r="O61" s="3" t="s">
        <v>1201</v>
      </c>
      <c r="R61" s="34" t="s">
        <v>1196</v>
      </c>
    </row>
    <row r="62" spans="1:18" ht="18.75" customHeight="1">
      <c r="A62"/>
      <c r="D62" s="27"/>
      <c r="N62" s="28">
        <f t="shared" si="1"/>
        <v>45453</v>
      </c>
      <c r="O62" s="3" t="s">
        <v>1201</v>
      </c>
      <c r="R62" s="34" t="s">
        <v>1196</v>
      </c>
    </row>
    <row r="63" spans="1:18" ht="18.75" customHeight="1">
      <c r="A63"/>
      <c r="D63" s="27"/>
      <c r="N63" s="28">
        <f t="shared" si="1"/>
        <v>45453</v>
      </c>
      <c r="O63" s="3" t="s">
        <v>1201</v>
      </c>
      <c r="R63" s="34" t="s">
        <v>1197</v>
      </c>
    </row>
    <row r="64" spans="1:18" ht="18.75" customHeight="1">
      <c r="A64"/>
      <c r="D64" s="27"/>
      <c r="N64" s="28">
        <f t="shared" si="1"/>
        <v>45453</v>
      </c>
      <c r="O64" s="3" t="s">
        <v>1201</v>
      </c>
      <c r="R64" s="34" t="s">
        <v>1197</v>
      </c>
    </row>
    <row r="65" spans="1:18" ht="18.75" customHeight="1">
      <c r="A65"/>
      <c r="D65" s="27"/>
      <c r="N65" s="28">
        <f t="shared" si="1"/>
        <v>45453</v>
      </c>
      <c r="O65" s="3" t="s">
        <v>1201</v>
      </c>
      <c r="R65" s="34" t="s">
        <v>1196</v>
      </c>
    </row>
    <row r="66" spans="1:18" ht="18.75" customHeight="1">
      <c r="A66"/>
      <c r="D66" s="27"/>
      <c r="N66" s="28">
        <f t="shared" ref="N66:N90" si="2">$G$7</f>
        <v>45453</v>
      </c>
      <c r="O66" s="3" t="s">
        <v>1201</v>
      </c>
      <c r="R66" s="34" t="s">
        <v>1197</v>
      </c>
    </row>
    <row r="67" spans="1:18" ht="18.75" customHeight="1">
      <c r="A67"/>
      <c r="D67" s="27"/>
      <c r="N67" s="28">
        <f t="shared" si="2"/>
        <v>45453</v>
      </c>
      <c r="O67" s="3" t="s">
        <v>1201</v>
      </c>
      <c r="R67" s="34" t="s">
        <v>1196</v>
      </c>
    </row>
    <row r="68" spans="1:18" ht="18.75" customHeight="1">
      <c r="A68"/>
      <c r="D68" s="27"/>
      <c r="N68" s="28">
        <f t="shared" si="2"/>
        <v>45453</v>
      </c>
      <c r="O68" s="3" t="s">
        <v>1201</v>
      </c>
      <c r="R68" s="34" t="s">
        <v>1197</v>
      </c>
    </row>
    <row r="69" spans="1:18" ht="18.75" customHeight="1">
      <c r="A69"/>
      <c r="D69" s="27"/>
      <c r="N69" s="28">
        <f t="shared" si="2"/>
        <v>45453</v>
      </c>
      <c r="O69" s="3" t="s">
        <v>1201</v>
      </c>
      <c r="R69" s="34" t="s">
        <v>1197</v>
      </c>
    </row>
    <row r="70" spans="1:18" ht="18.75" customHeight="1">
      <c r="A70"/>
      <c r="D70" s="27"/>
      <c r="N70" s="28">
        <f t="shared" si="2"/>
        <v>45453</v>
      </c>
      <c r="O70" s="3" t="s">
        <v>1201</v>
      </c>
    </row>
    <row r="71" spans="1:18" ht="18.75" customHeight="1">
      <c r="A71"/>
      <c r="D71" s="27"/>
      <c r="N71" s="28">
        <f t="shared" si="2"/>
        <v>45453</v>
      </c>
      <c r="O71" s="3" t="s">
        <v>1201</v>
      </c>
    </row>
    <row r="72" spans="1:18" ht="18.75" customHeight="1">
      <c r="A72"/>
      <c r="D72" s="27"/>
      <c r="N72" s="28">
        <f t="shared" si="2"/>
        <v>45453</v>
      </c>
      <c r="O72" s="3" t="s">
        <v>1201</v>
      </c>
    </row>
    <row r="73" spans="1:18" ht="18.75" customHeight="1">
      <c r="A73"/>
      <c r="D73" s="27"/>
      <c r="N73" s="28">
        <f t="shared" si="2"/>
        <v>45453</v>
      </c>
      <c r="O73" s="3" t="s">
        <v>1201</v>
      </c>
    </row>
    <row r="74" spans="1:18" ht="18.75" customHeight="1">
      <c r="A74"/>
      <c r="D74" s="27"/>
      <c r="N74" s="28">
        <f t="shared" si="2"/>
        <v>45453</v>
      </c>
      <c r="O74" s="3" t="s">
        <v>1201</v>
      </c>
    </row>
    <row r="75" spans="1:18" ht="18.75" customHeight="1">
      <c r="A75"/>
      <c r="D75" s="27"/>
      <c r="N75" s="28">
        <f t="shared" si="2"/>
        <v>45453</v>
      </c>
      <c r="O75" s="3" t="s">
        <v>1201</v>
      </c>
    </row>
    <row r="76" spans="1:18" ht="18.75" customHeight="1">
      <c r="A76"/>
      <c r="D76" s="27"/>
      <c r="N76" s="28">
        <f t="shared" si="2"/>
        <v>45453</v>
      </c>
      <c r="O76" s="3" t="s">
        <v>1201</v>
      </c>
    </row>
    <row r="77" spans="1:18" ht="18.75" customHeight="1">
      <c r="A77"/>
      <c r="D77" s="27"/>
      <c r="N77" s="28">
        <f t="shared" si="2"/>
        <v>45453</v>
      </c>
      <c r="O77" s="3" t="s">
        <v>1201</v>
      </c>
    </row>
    <row r="78" spans="1:18" ht="18.75" customHeight="1">
      <c r="A78"/>
      <c r="D78" s="27"/>
      <c r="N78" s="28">
        <f t="shared" si="2"/>
        <v>45453</v>
      </c>
      <c r="O78" s="3" t="s">
        <v>1201</v>
      </c>
    </row>
    <row r="79" spans="1:18" ht="18.75" customHeight="1">
      <c r="A79"/>
      <c r="D79" s="27"/>
      <c r="N79" s="28">
        <f t="shared" si="2"/>
        <v>45453</v>
      </c>
      <c r="O79" s="3" t="s">
        <v>1201</v>
      </c>
    </row>
    <row r="80" spans="1:18" ht="18.75" customHeight="1">
      <c r="A80"/>
      <c r="D80" s="27"/>
      <c r="N80" s="28">
        <f t="shared" si="2"/>
        <v>45453</v>
      </c>
      <c r="O80" s="3" t="s">
        <v>1201</v>
      </c>
    </row>
    <row r="81" spans="1:15" ht="18.75" customHeight="1">
      <c r="A81"/>
      <c r="D81" s="27"/>
      <c r="N81" s="28">
        <f t="shared" si="2"/>
        <v>45453</v>
      </c>
      <c r="O81" s="3" t="s">
        <v>1201</v>
      </c>
    </row>
    <row r="82" spans="1:15" ht="18.75" customHeight="1">
      <c r="A82"/>
      <c r="D82" s="27"/>
      <c r="N82" s="28">
        <f t="shared" si="2"/>
        <v>45453</v>
      </c>
      <c r="O82" s="3" t="s">
        <v>1201</v>
      </c>
    </row>
    <row r="83" spans="1:15" ht="18.75" customHeight="1">
      <c r="A83"/>
      <c r="D83" s="27"/>
      <c r="N83" s="28">
        <f t="shared" si="2"/>
        <v>45453</v>
      </c>
      <c r="O83" s="3" t="s">
        <v>1201</v>
      </c>
    </row>
    <row r="84" spans="1:15" ht="18.75" customHeight="1">
      <c r="A84"/>
      <c r="D84" s="27"/>
      <c r="N84" s="28">
        <f t="shared" si="2"/>
        <v>45453</v>
      </c>
      <c r="O84" s="3" t="s">
        <v>1201</v>
      </c>
    </row>
    <row r="85" spans="1:15" ht="18.75" customHeight="1">
      <c r="A85"/>
      <c r="D85" s="27"/>
      <c r="N85" s="28">
        <f t="shared" si="2"/>
        <v>45453</v>
      </c>
      <c r="O85" s="3" t="s">
        <v>1201</v>
      </c>
    </row>
    <row r="86" spans="1:15" ht="18.75" customHeight="1">
      <c r="A86"/>
      <c r="D86" s="27"/>
      <c r="N86" s="28">
        <f t="shared" si="2"/>
        <v>45453</v>
      </c>
      <c r="O86" s="3" t="s">
        <v>1201</v>
      </c>
    </row>
    <row r="87" spans="1:15" ht="18.75" customHeight="1">
      <c r="A87"/>
      <c r="D87" s="27"/>
      <c r="N87" s="28">
        <f t="shared" si="2"/>
        <v>45453</v>
      </c>
      <c r="O87" s="3" t="s">
        <v>1201</v>
      </c>
    </row>
    <row r="88" spans="1:15" ht="18.75" customHeight="1">
      <c r="A88"/>
      <c r="D88" s="27"/>
      <c r="N88" s="28">
        <f t="shared" si="2"/>
        <v>45453</v>
      </c>
      <c r="O88" s="3" t="s">
        <v>1201</v>
      </c>
    </row>
    <row r="89" spans="1:15" ht="18.75" customHeight="1">
      <c r="A89"/>
      <c r="D89" s="27"/>
      <c r="N89" s="28">
        <f t="shared" si="2"/>
        <v>45453</v>
      </c>
      <c r="O89" s="3" t="s">
        <v>1201</v>
      </c>
    </row>
    <row r="90" spans="1:15" ht="18.75" customHeight="1">
      <c r="A90"/>
      <c r="D90" s="27"/>
      <c r="N90" s="28">
        <f t="shared" si="2"/>
        <v>45453</v>
      </c>
      <c r="O90" s="3" t="s">
        <v>1201</v>
      </c>
    </row>
    <row r="91" spans="1:15" ht="18.75" customHeight="1">
      <c r="A91"/>
      <c r="D91" s="27"/>
    </row>
    <row r="92" spans="1:15" ht="18.75" customHeight="1">
      <c r="A92"/>
      <c r="D92" s="27"/>
    </row>
    <row r="93" spans="1:15" ht="18.75" customHeight="1">
      <c r="A93"/>
      <c r="D93" s="27"/>
    </row>
    <row r="94" spans="1:15" ht="18.75" customHeight="1">
      <c r="A94"/>
      <c r="D94" s="27"/>
    </row>
    <row r="95" spans="1:15" ht="18.75" customHeight="1">
      <c r="A95"/>
      <c r="D95" s="27"/>
    </row>
    <row r="96" spans="1:15" ht="18.75" customHeight="1">
      <c r="A96"/>
      <c r="D96" s="27"/>
    </row>
    <row r="97" spans="1:4" ht="18.75" customHeight="1">
      <c r="A97"/>
      <c r="D97" s="27"/>
    </row>
    <row r="98" spans="1:4" ht="18.75" customHeight="1">
      <c r="A98"/>
      <c r="D98" s="27"/>
    </row>
    <row r="99" spans="1:4" ht="18.75" customHeight="1">
      <c r="A99"/>
      <c r="D99" s="27"/>
    </row>
    <row r="100" spans="1:4" ht="18.75" customHeight="1">
      <c r="A100"/>
      <c r="D100" s="27"/>
    </row>
    <row r="101" spans="1:4" ht="18.75" customHeight="1">
      <c r="A101"/>
      <c r="D101" s="27"/>
    </row>
    <row r="102" spans="1:4" ht="18.75" customHeight="1">
      <c r="A102"/>
      <c r="D102" s="27"/>
    </row>
    <row r="103" spans="1:4" ht="18.75" customHeight="1">
      <c r="A103"/>
      <c r="D103" s="27"/>
    </row>
    <row r="104" spans="1:4" ht="18.75" customHeight="1">
      <c r="A104"/>
      <c r="D104" s="27"/>
    </row>
    <row r="105" spans="1:4" ht="18.75" customHeight="1">
      <c r="A105"/>
      <c r="D105" s="27"/>
    </row>
    <row r="106" spans="1:4" ht="18.75" customHeight="1">
      <c r="A106"/>
      <c r="D106" s="27"/>
    </row>
    <row r="107" spans="1:4" ht="18.75" customHeight="1">
      <c r="A107"/>
      <c r="D107" s="27"/>
    </row>
    <row r="108" spans="1:4" ht="18.75" customHeight="1">
      <c r="A108"/>
      <c r="D108" s="27"/>
    </row>
    <row r="109" spans="1:4" ht="18.75" customHeight="1">
      <c r="A109"/>
      <c r="D109" s="27"/>
    </row>
    <row r="110" spans="1:4" ht="18.75" customHeight="1">
      <c r="A110"/>
      <c r="D110" s="27"/>
    </row>
    <row r="111" spans="1:4" ht="18.75" customHeight="1">
      <c r="A111"/>
      <c r="D111" s="27"/>
    </row>
    <row r="112" spans="1:4" ht="18.75" customHeight="1">
      <c r="A112"/>
      <c r="D112" s="27"/>
    </row>
    <row r="113" spans="1:4" ht="18.75" customHeight="1">
      <c r="A113"/>
      <c r="D113" s="27"/>
    </row>
    <row r="114" spans="1:4" ht="18.75" customHeight="1">
      <c r="A114"/>
      <c r="D114" s="27"/>
    </row>
    <row r="115" spans="1:4" ht="18.75" customHeight="1">
      <c r="A115"/>
      <c r="D115" s="27"/>
    </row>
    <row r="116" spans="1:4" ht="18.75" customHeight="1">
      <c r="A116"/>
      <c r="D116" s="27"/>
    </row>
    <row r="117" spans="1:4" ht="18.75" customHeight="1">
      <c r="A117"/>
      <c r="D117" s="27"/>
    </row>
    <row r="118" spans="1:4" ht="18.75" customHeight="1">
      <c r="A118"/>
      <c r="D118" s="27"/>
    </row>
    <row r="119" spans="1:4" ht="18.75" customHeight="1">
      <c r="A119"/>
      <c r="D119" s="27"/>
    </row>
    <row r="120" spans="1:4" ht="18.75" customHeight="1">
      <c r="A120"/>
      <c r="D120" s="27"/>
    </row>
    <row r="121" spans="1:4" ht="18.75" customHeight="1">
      <c r="A121"/>
      <c r="D121" s="27"/>
    </row>
    <row r="122" spans="1:4" ht="18.75" customHeight="1">
      <c r="A122"/>
      <c r="D122" s="27"/>
    </row>
    <row r="123" spans="1:4" ht="18.75" customHeight="1">
      <c r="A123"/>
      <c r="D123" s="27"/>
    </row>
    <row r="124" spans="1:4" ht="18.75" customHeight="1">
      <c r="A124"/>
      <c r="D124" s="27"/>
    </row>
    <row r="125" spans="1:4" ht="18.75" customHeight="1">
      <c r="A125"/>
      <c r="D125" s="27"/>
    </row>
    <row r="126" spans="1:4" ht="18.75" customHeight="1">
      <c r="A126"/>
      <c r="D126" s="27"/>
    </row>
    <row r="127" spans="1:4" ht="18.75" customHeight="1">
      <c r="A127"/>
      <c r="D127" s="27"/>
    </row>
    <row r="128" spans="1:4" ht="18.75" customHeight="1">
      <c r="A128"/>
      <c r="D128" s="27"/>
    </row>
    <row r="129" spans="1:4" ht="18.75" customHeight="1">
      <c r="A129"/>
      <c r="D129" s="27"/>
    </row>
    <row r="130" spans="1:4" ht="18.75" customHeight="1">
      <c r="A130"/>
      <c r="D130" s="27"/>
    </row>
    <row r="131" spans="1:4" ht="18.75" customHeight="1">
      <c r="A131"/>
      <c r="D131" s="27"/>
    </row>
    <row r="132" spans="1:4" ht="18.75" customHeight="1">
      <c r="A132"/>
      <c r="D132" s="27"/>
    </row>
    <row r="133" spans="1:4" ht="18.75" customHeight="1">
      <c r="A133"/>
      <c r="D133" s="27"/>
    </row>
    <row r="134" spans="1:4" ht="18.75" customHeight="1">
      <c r="A134"/>
      <c r="D134" s="27"/>
    </row>
    <row r="135" spans="1:4" ht="18.75" customHeight="1">
      <c r="A135"/>
      <c r="D135" s="27"/>
    </row>
    <row r="136" spans="1:4" ht="18.75" customHeight="1">
      <c r="A136"/>
      <c r="D136" s="27"/>
    </row>
    <row r="137" spans="1:4" ht="18.75" customHeight="1">
      <c r="A137"/>
      <c r="D137" s="27"/>
    </row>
    <row r="138" spans="1:4" ht="18.75" customHeight="1">
      <c r="A138"/>
      <c r="D138" s="27"/>
    </row>
    <row r="139" spans="1:4" ht="18.75" customHeight="1">
      <c r="A139"/>
      <c r="D139" s="27"/>
    </row>
    <row r="140" spans="1:4" ht="18.75" customHeight="1">
      <c r="A140"/>
      <c r="D140" s="27"/>
    </row>
    <row r="141" spans="1:4" ht="18.75" customHeight="1">
      <c r="A141"/>
      <c r="D141" s="27"/>
    </row>
    <row r="142" spans="1:4" ht="18.75" customHeight="1">
      <c r="A142"/>
      <c r="D142" s="27"/>
    </row>
    <row r="143" spans="1:4" ht="18.75" customHeight="1">
      <c r="A143"/>
      <c r="D143" s="27"/>
    </row>
    <row r="144" spans="1:4" ht="18.75" customHeight="1">
      <c r="A144"/>
      <c r="D144" s="27"/>
    </row>
    <row r="145" spans="1:4" ht="18.75" customHeight="1">
      <c r="A145"/>
      <c r="D145" s="27"/>
    </row>
    <row r="146" spans="1:4" ht="18.75" customHeight="1">
      <c r="A146"/>
      <c r="D146" s="27"/>
    </row>
    <row r="147" spans="1:4" ht="18.75" customHeight="1">
      <c r="A147"/>
      <c r="D147" s="27"/>
    </row>
    <row r="148" spans="1:4" ht="18.75" customHeight="1">
      <c r="A148"/>
      <c r="D148" s="27"/>
    </row>
    <row r="149" spans="1:4" ht="18.75" customHeight="1">
      <c r="A149"/>
      <c r="D149" s="27"/>
    </row>
    <row r="150" spans="1:4" ht="18.75" customHeight="1">
      <c r="A150"/>
      <c r="D150" s="27"/>
    </row>
    <row r="151" spans="1:4" ht="18.75" customHeight="1">
      <c r="A151"/>
      <c r="D151" s="27"/>
    </row>
    <row r="152" spans="1:4" ht="18.75" customHeight="1">
      <c r="A152"/>
      <c r="D152" s="27"/>
    </row>
    <row r="153" spans="1:4" ht="18.75" customHeight="1">
      <c r="A153"/>
      <c r="D153" s="27"/>
    </row>
    <row r="154" spans="1:4" ht="18.75" customHeight="1">
      <c r="A154"/>
      <c r="D154" s="27"/>
    </row>
    <row r="155" spans="1:4" ht="18.75" customHeight="1">
      <c r="A155"/>
      <c r="D155" s="27"/>
    </row>
    <row r="156" spans="1:4" ht="18.75" customHeight="1">
      <c r="A156"/>
      <c r="D156" s="27"/>
    </row>
    <row r="157" spans="1:4" ht="18.75" customHeight="1">
      <c r="A157"/>
      <c r="D157" s="27"/>
    </row>
    <row r="158" spans="1:4" ht="18.75" customHeight="1">
      <c r="A158"/>
      <c r="D158" s="27"/>
    </row>
    <row r="159" spans="1:4" ht="18.75" customHeight="1">
      <c r="A159"/>
      <c r="D159" s="27"/>
    </row>
    <row r="160" spans="1:4" ht="18.75" customHeight="1">
      <c r="A160"/>
      <c r="D160" s="27"/>
    </row>
    <row r="161" spans="1:4" ht="18.75" customHeight="1">
      <c r="A161"/>
      <c r="D161" s="27"/>
    </row>
    <row r="162" spans="1:4" ht="18.75" customHeight="1">
      <c r="A162"/>
      <c r="D162" s="27"/>
    </row>
    <row r="163" spans="1:4" ht="18.75" customHeight="1">
      <c r="A163"/>
      <c r="D163" s="27"/>
    </row>
    <row r="164" spans="1:4" ht="18.75" customHeight="1">
      <c r="A164"/>
      <c r="D164" s="27"/>
    </row>
    <row r="165" spans="1:4" ht="18.75" customHeight="1">
      <c r="A165"/>
      <c r="D165" s="27"/>
    </row>
    <row r="166" spans="1:4" ht="18.75" customHeight="1">
      <c r="A166"/>
      <c r="D166" s="27"/>
    </row>
    <row r="167" spans="1:4" ht="18.75" customHeight="1">
      <c r="A167"/>
      <c r="D167" s="27"/>
    </row>
    <row r="168" spans="1:4" ht="18.75" customHeight="1">
      <c r="A168"/>
      <c r="D168" s="27"/>
    </row>
    <row r="169" spans="1:4" ht="18.75" customHeight="1">
      <c r="A169"/>
      <c r="D169" s="27"/>
    </row>
    <row r="170" spans="1:4" ht="18.75" customHeight="1">
      <c r="A170"/>
      <c r="D170" s="27"/>
    </row>
    <row r="171" spans="1:4" ht="18.75" customHeight="1">
      <c r="A171"/>
      <c r="D171" s="27"/>
    </row>
    <row r="172" spans="1:4" ht="18.75" customHeight="1">
      <c r="A172"/>
      <c r="D172" s="27"/>
    </row>
    <row r="173" spans="1:4" ht="18.75" customHeight="1">
      <c r="A173"/>
      <c r="D173" s="27"/>
    </row>
    <row r="174" spans="1:4" ht="18.75" customHeight="1">
      <c r="A174"/>
      <c r="D174" s="27"/>
    </row>
    <row r="175" spans="1:4" ht="18.75" customHeight="1">
      <c r="A175"/>
      <c r="D175" s="27"/>
    </row>
    <row r="176" spans="1:4" ht="18.75" customHeight="1">
      <c r="A176"/>
      <c r="D176" s="27"/>
    </row>
    <row r="177" spans="1:4" ht="18.75" customHeight="1">
      <c r="A177"/>
      <c r="D177" s="27"/>
    </row>
    <row r="178" spans="1:4" ht="18.75" customHeight="1">
      <c r="A178"/>
      <c r="D178" s="27"/>
    </row>
    <row r="179" spans="1:4" ht="18.75" customHeight="1">
      <c r="A179"/>
      <c r="D179" s="27"/>
    </row>
    <row r="180" spans="1:4" ht="18.75" customHeight="1">
      <c r="A180"/>
      <c r="D180" s="27"/>
    </row>
    <row r="181" spans="1:4" ht="18.75" customHeight="1">
      <c r="A181"/>
      <c r="D181" s="27"/>
    </row>
    <row r="182" spans="1:4" ht="18.75" customHeight="1">
      <c r="A182"/>
      <c r="D182" s="27"/>
    </row>
    <row r="183" spans="1:4" ht="18.75" customHeight="1">
      <c r="A183"/>
      <c r="D183" s="27"/>
    </row>
    <row r="184" spans="1:4" ht="18.75" customHeight="1">
      <c r="A184"/>
      <c r="D184" s="27"/>
    </row>
    <row r="185" spans="1:4" ht="18.75" customHeight="1">
      <c r="A185"/>
      <c r="D185" s="27"/>
    </row>
    <row r="186" spans="1:4" ht="18.75" customHeight="1">
      <c r="A186"/>
      <c r="D186" s="27"/>
    </row>
    <row r="187" spans="1:4" ht="18.75" customHeight="1">
      <c r="A187"/>
      <c r="D187" s="27"/>
    </row>
    <row r="188" spans="1:4" ht="18.75" customHeight="1">
      <c r="A188"/>
      <c r="D188" s="27"/>
    </row>
    <row r="189" spans="1:4" ht="18.75" customHeight="1">
      <c r="A189"/>
      <c r="D189" s="27"/>
    </row>
    <row r="190" spans="1:4" ht="18.75" customHeight="1">
      <c r="A190"/>
      <c r="D190" s="27"/>
    </row>
    <row r="191" spans="1:4" ht="18.75" customHeight="1">
      <c r="A191"/>
      <c r="D191" s="27"/>
    </row>
    <row r="192" spans="1:4" ht="18.75" customHeight="1">
      <c r="A192"/>
      <c r="D192" s="27"/>
    </row>
    <row r="193" spans="1:4" ht="18.75" customHeight="1">
      <c r="A193"/>
      <c r="D193" s="27"/>
    </row>
    <row r="194" spans="1:4" ht="18.75" customHeight="1">
      <c r="A194"/>
      <c r="D194" s="27"/>
    </row>
    <row r="195" spans="1:4" ht="18.75" customHeight="1">
      <c r="A195"/>
      <c r="D195" s="27"/>
    </row>
    <row r="196" spans="1:4" ht="18.75" customHeight="1">
      <c r="A196"/>
      <c r="D196" s="27"/>
    </row>
    <row r="197" spans="1:4" ht="18.75" customHeight="1">
      <c r="A197"/>
      <c r="D197" s="27"/>
    </row>
    <row r="198" spans="1:4" ht="18.75" customHeight="1">
      <c r="A198"/>
      <c r="D198" s="27"/>
    </row>
    <row r="199" spans="1:4" ht="18.75" customHeight="1">
      <c r="A199"/>
      <c r="D199" s="27"/>
    </row>
    <row r="200" spans="1:4" ht="18.75" customHeight="1">
      <c r="A200"/>
      <c r="D200" s="27"/>
    </row>
    <row r="201" spans="1:4" ht="18.75" customHeight="1">
      <c r="A201"/>
      <c r="D201" s="27"/>
    </row>
    <row r="202" spans="1:4" ht="18.75" customHeight="1">
      <c r="A202"/>
      <c r="D202" s="27"/>
    </row>
    <row r="203" spans="1:4" ht="18.75" customHeight="1">
      <c r="A203"/>
      <c r="D203" s="27"/>
    </row>
    <row r="204" spans="1:4" ht="18.75" customHeight="1">
      <c r="A204"/>
      <c r="D204" s="27"/>
    </row>
    <row r="205" spans="1:4" ht="18.75" customHeight="1">
      <c r="A205"/>
      <c r="D205" s="27"/>
    </row>
    <row r="206" spans="1:4" ht="18.75" customHeight="1">
      <c r="A206"/>
      <c r="D206" s="27"/>
    </row>
    <row r="207" spans="1:4" ht="18.75" customHeight="1">
      <c r="A207"/>
      <c r="D207" s="27"/>
    </row>
    <row r="208" spans="1:4" ht="18.75" customHeight="1">
      <c r="A208"/>
      <c r="D208" s="27"/>
    </row>
    <row r="209" spans="1:4" ht="18.75" customHeight="1">
      <c r="A209"/>
      <c r="D209" s="27"/>
    </row>
    <row r="210" spans="1:4" ht="18.75" customHeight="1">
      <c r="A210"/>
      <c r="D210" s="27"/>
    </row>
    <row r="211" spans="1:4" ht="18.75" customHeight="1">
      <c r="A211"/>
      <c r="D211" s="27"/>
    </row>
    <row r="212" spans="1:4" ht="18.75" customHeight="1">
      <c r="A212"/>
      <c r="D212" s="27"/>
    </row>
    <row r="213" spans="1:4" ht="18.75" customHeight="1">
      <c r="A213"/>
      <c r="D213" s="27"/>
    </row>
    <row r="214" spans="1:4" ht="18.75" customHeight="1">
      <c r="A214"/>
      <c r="D214" s="27"/>
    </row>
    <row r="215" spans="1:4" ht="18.75" customHeight="1">
      <c r="A215"/>
      <c r="D215" s="27"/>
    </row>
    <row r="216" spans="1:4" ht="18.75" customHeight="1">
      <c r="A216"/>
      <c r="D216" s="27"/>
    </row>
    <row r="217" spans="1:4" ht="18.75" customHeight="1">
      <c r="A217"/>
      <c r="D217" s="27"/>
    </row>
    <row r="218" spans="1:4" ht="18.75" customHeight="1">
      <c r="A218"/>
      <c r="D218" s="27"/>
    </row>
    <row r="219" spans="1:4" ht="18.75" customHeight="1">
      <c r="A219"/>
      <c r="D219" s="27"/>
    </row>
    <row r="220" spans="1:4" ht="18.75" customHeight="1">
      <c r="A220"/>
      <c r="D220" s="27"/>
    </row>
    <row r="221" spans="1:4" ht="18.75" customHeight="1">
      <c r="A221"/>
      <c r="D221" s="27"/>
    </row>
    <row r="222" spans="1:4" ht="18.75" customHeight="1">
      <c r="A222"/>
      <c r="D222" s="27"/>
    </row>
    <row r="223" spans="1:4" ht="18.75" customHeight="1">
      <c r="A223"/>
      <c r="D223" s="27"/>
    </row>
    <row r="224" spans="1:4" ht="18.75" customHeight="1">
      <c r="A224"/>
      <c r="D224" s="27"/>
    </row>
    <row r="225" spans="1:4" ht="18.75" customHeight="1">
      <c r="A225"/>
      <c r="D225" s="27"/>
    </row>
    <row r="226" spans="1:4" ht="18.75" customHeight="1">
      <c r="A226"/>
      <c r="D226" s="27"/>
    </row>
    <row r="227" spans="1:4" ht="18.75" customHeight="1">
      <c r="A227"/>
      <c r="D227" s="27"/>
    </row>
    <row r="228" spans="1:4" ht="18.75" customHeight="1">
      <c r="A228"/>
      <c r="D228" s="27"/>
    </row>
    <row r="229" spans="1:4" ht="18.75" customHeight="1">
      <c r="A229"/>
      <c r="D229" s="27"/>
    </row>
    <row r="230" spans="1:4" ht="18.75" customHeight="1">
      <c r="A230"/>
      <c r="D230" s="27"/>
    </row>
    <row r="231" spans="1:4" ht="18.75" customHeight="1">
      <c r="A231"/>
      <c r="D231" s="27"/>
    </row>
    <row r="232" spans="1:4" ht="18.75" customHeight="1">
      <c r="A232"/>
      <c r="D232" s="27"/>
    </row>
    <row r="233" spans="1:4" ht="18.75" customHeight="1">
      <c r="A233"/>
      <c r="D233" s="27"/>
    </row>
    <row r="234" spans="1:4" ht="18.75" customHeight="1">
      <c r="A234"/>
      <c r="D234" s="27"/>
    </row>
    <row r="235" spans="1:4" ht="18.75" customHeight="1">
      <c r="A235"/>
      <c r="D235" s="27"/>
    </row>
    <row r="236" spans="1:4" ht="18.75" customHeight="1">
      <c r="A236"/>
      <c r="D236" s="27"/>
    </row>
    <row r="237" spans="1:4" ht="18.75" customHeight="1">
      <c r="A237"/>
      <c r="D237" s="27"/>
    </row>
    <row r="238" spans="1:4" ht="18.75" customHeight="1">
      <c r="A238"/>
      <c r="D238" s="27"/>
    </row>
    <row r="239" spans="1:4" ht="18.75" customHeight="1">
      <c r="A239"/>
      <c r="D239" s="27"/>
    </row>
    <row r="240" spans="1:4" ht="18.75" customHeight="1">
      <c r="A240"/>
      <c r="D240" s="27"/>
    </row>
    <row r="241" spans="1:4" ht="18.75" customHeight="1">
      <c r="A241"/>
      <c r="D241" s="27"/>
    </row>
    <row r="242" spans="1:4" ht="18.75" customHeight="1">
      <c r="A242"/>
      <c r="D242" s="27"/>
    </row>
    <row r="243" spans="1:4" ht="18.75" customHeight="1">
      <c r="A243"/>
      <c r="D243" s="27"/>
    </row>
    <row r="244" spans="1:4" ht="18.75" customHeight="1">
      <c r="A244"/>
      <c r="D244" s="27"/>
    </row>
    <row r="245" spans="1:4" ht="18.75" customHeight="1">
      <c r="A245"/>
      <c r="D245" s="27"/>
    </row>
    <row r="246" spans="1:4" ht="18.75" customHeight="1">
      <c r="A246"/>
      <c r="D246" s="27"/>
    </row>
    <row r="247" spans="1:4" ht="18.75" customHeight="1">
      <c r="A247"/>
      <c r="D247" s="27"/>
    </row>
    <row r="248" spans="1:4" ht="18.75" customHeight="1">
      <c r="A248"/>
      <c r="D248" s="27"/>
    </row>
    <row r="249" spans="1:4" ht="18.75" customHeight="1">
      <c r="A249"/>
      <c r="D249" s="27"/>
    </row>
    <row r="250" spans="1:4" ht="18.75" customHeight="1">
      <c r="A250"/>
      <c r="D250" s="27"/>
    </row>
    <row r="251" spans="1:4" ht="18.75" customHeight="1">
      <c r="A251"/>
      <c r="D251" s="27"/>
    </row>
    <row r="252" spans="1:4" ht="18.75" customHeight="1">
      <c r="A252"/>
      <c r="D252" s="27"/>
    </row>
    <row r="253" spans="1:4" ht="18.75" customHeight="1">
      <c r="A253"/>
      <c r="D253" s="27"/>
    </row>
    <row r="254" spans="1:4" ht="18.75" customHeight="1">
      <c r="A254"/>
      <c r="D254" s="27"/>
    </row>
    <row r="255" spans="1:4" ht="18.75" customHeight="1">
      <c r="A255"/>
      <c r="D255" s="27"/>
    </row>
    <row r="256" spans="1:4" ht="18.75" customHeight="1">
      <c r="A256"/>
      <c r="D256" s="27"/>
    </row>
    <row r="257" spans="1:4" ht="18.75" customHeight="1">
      <c r="A257"/>
      <c r="D257" s="27"/>
    </row>
    <row r="258" spans="1:4" ht="18.75" customHeight="1">
      <c r="A258"/>
      <c r="D258" s="27"/>
    </row>
    <row r="259" spans="1:4" ht="18.75" customHeight="1">
      <c r="A259"/>
      <c r="D259" s="27"/>
    </row>
    <row r="260" spans="1:4" ht="18.75" customHeight="1">
      <c r="A260"/>
      <c r="D260" s="27"/>
    </row>
    <row r="261" spans="1:4" ht="18.75" customHeight="1">
      <c r="A261"/>
      <c r="D261" s="27"/>
    </row>
    <row r="262" spans="1:4" ht="18.75" customHeight="1">
      <c r="A262"/>
      <c r="D262" s="27"/>
    </row>
    <row r="263" spans="1:4" ht="18.75" customHeight="1">
      <c r="A263"/>
      <c r="D263" s="27"/>
    </row>
    <row r="264" spans="1:4" ht="18.75" customHeight="1">
      <c r="A264"/>
      <c r="D264" s="27"/>
    </row>
    <row r="265" spans="1:4" ht="18.75" customHeight="1">
      <c r="A265"/>
      <c r="D265" s="27"/>
    </row>
    <row r="266" spans="1:4" ht="18.75" customHeight="1">
      <c r="A266"/>
      <c r="D266" s="27"/>
    </row>
    <row r="267" spans="1:4" ht="18.75" customHeight="1">
      <c r="A267"/>
      <c r="D267" s="27"/>
    </row>
    <row r="268" spans="1:4" ht="18.75" customHeight="1">
      <c r="A268"/>
      <c r="D268" s="27"/>
    </row>
    <row r="269" spans="1:4" ht="18.75" customHeight="1">
      <c r="A269"/>
      <c r="D269" s="27"/>
    </row>
    <row r="270" spans="1:4" ht="18.75" customHeight="1">
      <c r="A270"/>
      <c r="D270" s="27"/>
    </row>
    <row r="271" spans="1:4" ht="18.75" customHeight="1">
      <c r="A271"/>
      <c r="D271" s="27"/>
    </row>
    <row r="272" spans="1:4" ht="18.75" customHeight="1">
      <c r="A272"/>
      <c r="D272" s="27"/>
    </row>
    <row r="273" spans="1:4" ht="18.75" customHeight="1">
      <c r="A273"/>
      <c r="D273" s="27"/>
    </row>
    <row r="274" spans="1:4" ht="18.75" customHeight="1">
      <c r="A274"/>
      <c r="D274" s="27"/>
    </row>
    <row r="275" spans="1:4" ht="18.75" customHeight="1">
      <c r="A275"/>
      <c r="D275" s="27"/>
    </row>
    <row r="276" spans="1:4" ht="18.75" customHeight="1">
      <c r="A276"/>
      <c r="D276" s="27"/>
    </row>
    <row r="277" spans="1:4" ht="18.75" customHeight="1">
      <c r="A277"/>
      <c r="D277" s="27"/>
    </row>
    <row r="278" spans="1:4" ht="18.75" customHeight="1">
      <c r="A278"/>
      <c r="D278" s="27"/>
    </row>
    <row r="279" spans="1:4" ht="18.75" customHeight="1">
      <c r="A279"/>
      <c r="D279" s="27"/>
    </row>
    <row r="280" spans="1:4" ht="18.75" customHeight="1">
      <c r="A280"/>
      <c r="D280" s="27"/>
    </row>
    <row r="281" spans="1:4" ht="18.75" customHeight="1">
      <c r="A281"/>
      <c r="D281" s="27"/>
    </row>
    <row r="282" spans="1:4" ht="18.75" customHeight="1">
      <c r="A282"/>
      <c r="D282" s="27"/>
    </row>
    <row r="283" spans="1:4" ht="18.75" customHeight="1">
      <c r="A283"/>
    </row>
    <row r="284" spans="1:4" ht="18.75" customHeight="1">
      <c r="A284"/>
    </row>
    <row r="285" spans="1:4" ht="18.75" customHeight="1">
      <c r="A285"/>
    </row>
    <row r="286" spans="1:4" ht="18.75" customHeight="1">
      <c r="A286"/>
    </row>
    <row r="287" spans="1:4" ht="18.75" customHeight="1">
      <c r="A287"/>
    </row>
    <row r="288" spans="1:4" ht="18.75" customHeight="1">
      <c r="A288"/>
    </row>
    <row r="289" spans="1:1" ht="18.75" customHeight="1">
      <c r="A289"/>
    </row>
    <row r="290" spans="1:1" ht="18.75" customHeight="1">
      <c r="A290"/>
    </row>
    <row r="291" spans="1:1" ht="18.75" customHeight="1">
      <c r="A291"/>
    </row>
    <row r="292" spans="1:1" ht="18.75" customHeight="1">
      <c r="A292"/>
    </row>
    <row r="293" spans="1:1" ht="18.75" customHeight="1">
      <c r="A293"/>
    </row>
    <row r="294" spans="1:1" ht="18.75" customHeight="1">
      <c r="A294"/>
    </row>
    <row r="295" spans="1:1" ht="18.75" customHeight="1">
      <c r="A295"/>
    </row>
    <row r="296" spans="1:1" ht="18.75" customHeight="1">
      <c r="A296"/>
    </row>
    <row r="297" spans="1:1" ht="18.75" customHeight="1">
      <c r="A297"/>
    </row>
    <row r="298" spans="1:1" ht="18.75" customHeight="1">
      <c r="A298"/>
    </row>
    <row r="299" spans="1:1" ht="18.75" customHeight="1">
      <c r="A299"/>
    </row>
    <row r="300" spans="1:1" ht="18.75" customHeight="1">
      <c r="A300"/>
    </row>
    <row r="301" spans="1:1" ht="18.75" customHeight="1">
      <c r="A301"/>
    </row>
    <row r="302" spans="1:1" ht="18.75" customHeight="1">
      <c r="A302"/>
    </row>
    <row r="303" spans="1:1" ht="18.75" customHeight="1">
      <c r="A303"/>
    </row>
    <row r="304" spans="1:1" ht="18.75" customHeight="1">
      <c r="A304"/>
    </row>
    <row r="305" spans="1:1" ht="18.75" customHeight="1">
      <c r="A305"/>
    </row>
    <row r="306" spans="1:1" ht="18.75" customHeight="1">
      <c r="A306"/>
    </row>
    <row r="307" spans="1:1" ht="18.75" customHeight="1">
      <c r="A307"/>
    </row>
    <row r="308" spans="1:1" ht="18.75" customHeight="1">
      <c r="A308"/>
    </row>
    <row r="309" spans="1:1" ht="18.75" customHeight="1">
      <c r="A309"/>
    </row>
    <row r="310" spans="1:1" ht="18.75" customHeight="1">
      <c r="A310"/>
    </row>
    <row r="311" spans="1:1" ht="18.75" customHeight="1">
      <c r="A311"/>
    </row>
    <row r="312" spans="1:1" ht="18.75" customHeight="1">
      <c r="A312"/>
    </row>
    <row r="313" spans="1:1" ht="18.75" customHeight="1">
      <c r="A313"/>
    </row>
    <row r="314" spans="1:1" ht="18.75" customHeight="1">
      <c r="A314"/>
    </row>
    <row r="315" spans="1:1" ht="18.75" customHeight="1">
      <c r="A315"/>
    </row>
    <row r="316" spans="1:1" ht="18.75" customHeight="1">
      <c r="A316"/>
    </row>
    <row r="317" spans="1:1" ht="18.75" customHeight="1">
      <c r="A317"/>
    </row>
    <row r="318" spans="1:1" ht="18.75" customHeight="1">
      <c r="A318"/>
    </row>
    <row r="319" spans="1:1" ht="18.75" customHeight="1">
      <c r="A319"/>
    </row>
    <row r="320" spans="1:1" ht="18.75" customHeight="1">
      <c r="A320"/>
    </row>
    <row r="321" spans="1:1" ht="18.75" customHeight="1">
      <c r="A321"/>
    </row>
    <row r="322" spans="1:1" ht="18.75" customHeight="1">
      <c r="A322"/>
    </row>
    <row r="323" spans="1:1" ht="18.75" customHeight="1">
      <c r="A323"/>
    </row>
    <row r="324" spans="1:1" ht="18.75" customHeight="1">
      <c r="A324"/>
    </row>
    <row r="325" spans="1:1" ht="18.75" customHeight="1">
      <c r="A325"/>
    </row>
    <row r="326" spans="1:1" ht="18.75" customHeight="1">
      <c r="A326"/>
    </row>
    <row r="327" spans="1:1" ht="18.75" customHeight="1">
      <c r="A327"/>
    </row>
    <row r="328" spans="1:1" ht="18.75" customHeight="1">
      <c r="A328"/>
    </row>
    <row r="329" spans="1:1" ht="18.75" customHeight="1">
      <c r="A329"/>
    </row>
    <row r="330" spans="1:1" ht="18.75" customHeight="1">
      <c r="A330"/>
    </row>
    <row r="331" spans="1:1" ht="18.75" customHeight="1">
      <c r="A331"/>
    </row>
    <row r="332" spans="1:1" ht="18.75" customHeight="1">
      <c r="A332"/>
    </row>
    <row r="333" spans="1:1" ht="18.75" customHeight="1">
      <c r="A333"/>
    </row>
    <row r="334" spans="1:1" ht="18.75" customHeight="1">
      <c r="A334"/>
    </row>
    <row r="335" spans="1:1" ht="18.75" customHeight="1">
      <c r="A335"/>
    </row>
    <row r="336" spans="1:1" ht="18.75" customHeight="1">
      <c r="A336"/>
    </row>
    <row r="337" spans="1:1" ht="18.75" customHeight="1">
      <c r="A337"/>
    </row>
    <row r="338" spans="1:1" ht="18.75" customHeight="1">
      <c r="A338"/>
    </row>
    <row r="339" spans="1:1" ht="18.75" customHeight="1">
      <c r="A339"/>
    </row>
    <row r="340" spans="1:1" ht="18.75" customHeight="1">
      <c r="A340"/>
    </row>
    <row r="341" spans="1:1" ht="18.75" customHeight="1">
      <c r="A341"/>
    </row>
    <row r="342" spans="1:1" ht="18.75" customHeight="1">
      <c r="A342"/>
    </row>
    <row r="343" spans="1:1" ht="18.75" customHeight="1">
      <c r="A343"/>
    </row>
    <row r="344" spans="1:1" ht="18.75" customHeight="1">
      <c r="A344"/>
    </row>
    <row r="345" spans="1:1" ht="18.75" customHeight="1">
      <c r="A345"/>
    </row>
    <row r="346" spans="1:1" ht="18.75" customHeight="1">
      <c r="A346"/>
    </row>
    <row r="347" spans="1:1" ht="18.75" customHeight="1">
      <c r="A347"/>
    </row>
    <row r="348" spans="1:1" ht="18.75" customHeight="1">
      <c r="A348"/>
    </row>
    <row r="349" spans="1:1" ht="18.75" customHeight="1">
      <c r="A349"/>
    </row>
    <row r="350" spans="1:1" ht="18.75" customHeight="1">
      <c r="A350"/>
    </row>
    <row r="351" spans="1:1" ht="18.75" customHeight="1">
      <c r="A351"/>
    </row>
    <row r="352" spans="1:1" ht="18.75" customHeight="1">
      <c r="A352"/>
    </row>
    <row r="353" spans="1:1" ht="18.75" customHeight="1">
      <c r="A353"/>
    </row>
    <row r="354" spans="1:1" ht="18.75" customHeight="1">
      <c r="A354"/>
    </row>
    <row r="355" spans="1:1" ht="18.75" customHeight="1">
      <c r="A355"/>
    </row>
    <row r="356" spans="1:1" ht="18.75" customHeight="1">
      <c r="A356"/>
    </row>
    <row r="357" spans="1:1" ht="18.75" customHeight="1">
      <c r="A357"/>
    </row>
    <row r="358" spans="1:1" ht="18.75" customHeight="1">
      <c r="A358"/>
    </row>
    <row r="359" spans="1:1" ht="18.75" customHeight="1">
      <c r="A359"/>
    </row>
    <row r="360" spans="1:1" ht="18.75" customHeight="1">
      <c r="A360"/>
    </row>
    <row r="361" spans="1:1" ht="18.75" customHeight="1">
      <c r="A361"/>
    </row>
    <row r="362" spans="1:1" ht="18.75" customHeight="1">
      <c r="A362"/>
    </row>
    <row r="363" spans="1:1" ht="18.75" customHeight="1">
      <c r="A363"/>
    </row>
    <row r="364" spans="1:1" ht="18.75" customHeight="1">
      <c r="A364"/>
    </row>
    <row r="365" spans="1:1" ht="18.75" customHeight="1">
      <c r="A365"/>
    </row>
    <row r="366" spans="1:1" ht="18.75" customHeight="1">
      <c r="A366"/>
    </row>
    <row r="367" spans="1:1" ht="18.75" customHeight="1">
      <c r="A367"/>
    </row>
    <row r="368" spans="1:1" ht="18.75" customHeight="1">
      <c r="A368"/>
    </row>
    <row r="369" spans="1:1" ht="18.75" customHeight="1">
      <c r="A369"/>
    </row>
    <row r="370" spans="1:1" ht="18.75" customHeight="1">
      <c r="A370"/>
    </row>
    <row r="371" spans="1:1" ht="18.75" customHeight="1">
      <c r="A371"/>
    </row>
    <row r="372" spans="1:1" ht="18.75" customHeight="1">
      <c r="A372"/>
    </row>
    <row r="373" spans="1:1" ht="18.75" customHeight="1">
      <c r="A373"/>
    </row>
    <row r="374" spans="1:1" ht="18.75" customHeight="1">
      <c r="A374"/>
    </row>
    <row r="375" spans="1:1" ht="18.75" customHeight="1">
      <c r="A375"/>
    </row>
    <row r="376" spans="1:1" ht="18.75" customHeight="1">
      <c r="A376"/>
    </row>
    <row r="377" spans="1:1" ht="18.75" customHeight="1">
      <c r="A377"/>
    </row>
    <row r="378" spans="1:1" ht="18.75" customHeight="1">
      <c r="A378"/>
    </row>
    <row r="379" spans="1:1" ht="18.75" customHeight="1">
      <c r="A379"/>
    </row>
    <row r="380" spans="1:1" ht="18.75" customHeight="1">
      <c r="A380"/>
    </row>
    <row r="381" spans="1:1" ht="18.75" customHeight="1">
      <c r="A381"/>
    </row>
    <row r="382" spans="1:1" ht="18.75" customHeight="1">
      <c r="A382"/>
    </row>
    <row r="383" spans="1:1" ht="18.75" customHeight="1">
      <c r="A383"/>
    </row>
    <row r="384" spans="1:1" ht="18.75" customHeight="1">
      <c r="A384"/>
    </row>
    <row r="385" spans="1:1" ht="18.75" customHeight="1">
      <c r="A385"/>
    </row>
    <row r="386" spans="1:1" ht="18.75" customHeight="1">
      <c r="A386"/>
    </row>
    <row r="387" spans="1:1" ht="18.75" customHeight="1">
      <c r="A387"/>
    </row>
    <row r="388" spans="1:1" ht="18.75" customHeight="1">
      <c r="A388"/>
    </row>
    <row r="389" spans="1:1" ht="18.75" customHeight="1">
      <c r="A389"/>
    </row>
    <row r="390" spans="1:1" ht="18.75" customHeight="1">
      <c r="A390"/>
    </row>
    <row r="391" spans="1:1" ht="18.75" customHeight="1">
      <c r="A391"/>
    </row>
    <row r="392" spans="1:1" ht="18.75" customHeight="1">
      <c r="A392"/>
    </row>
    <row r="393" spans="1:1" ht="18.75" customHeight="1">
      <c r="A393"/>
    </row>
    <row r="394" spans="1:1" ht="18.75" customHeight="1">
      <c r="A394"/>
    </row>
    <row r="395" spans="1:1" ht="18.75" customHeight="1">
      <c r="A395"/>
    </row>
    <row r="396" spans="1:1" ht="18.75" customHeight="1">
      <c r="A396"/>
    </row>
    <row r="397" spans="1:1" ht="18.75" customHeight="1">
      <c r="A397"/>
    </row>
    <row r="398" spans="1:1" ht="18.75" customHeight="1">
      <c r="A398"/>
    </row>
    <row r="399" spans="1:1" ht="18.75" customHeight="1">
      <c r="A399"/>
    </row>
    <row r="400" spans="1:1" ht="18.75" customHeight="1">
      <c r="A400"/>
    </row>
    <row r="401" spans="1:1" ht="18.75" customHeight="1">
      <c r="A401"/>
    </row>
    <row r="402" spans="1:1" ht="18.75" customHeight="1">
      <c r="A402"/>
    </row>
    <row r="403" spans="1:1" ht="18.75" customHeight="1">
      <c r="A403"/>
    </row>
    <row r="404" spans="1:1" ht="18.75" customHeight="1">
      <c r="A404"/>
    </row>
    <row r="405" spans="1:1" ht="18.75" customHeight="1">
      <c r="A405"/>
    </row>
    <row r="406" spans="1:1" ht="18.75" customHeight="1">
      <c r="A406"/>
    </row>
    <row r="407" spans="1:1" ht="18.75" customHeight="1">
      <c r="A407"/>
    </row>
    <row r="408" spans="1:1" ht="18.75" customHeight="1">
      <c r="A408"/>
    </row>
    <row r="409" spans="1:1" ht="18.75" customHeight="1">
      <c r="A409"/>
    </row>
    <row r="410" spans="1:1" ht="18.75" customHeight="1">
      <c r="A410"/>
    </row>
    <row r="411" spans="1:1" ht="18.75" customHeight="1">
      <c r="A411"/>
    </row>
    <row r="412" spans="1:1" ht="18.75" customHeight="1">
      <c r="A412"/>
    </row>
    <row r="413" spans="1:1" ht="18.75" customHeight="1">
      <c r="A413"/>
    </row>
    <row r="414" spans="1:1" ht="18.75" customHeight="1">
      <c r="A414"/>
    </row>
    <row r="415" spans="1:1" ht="18.75" customHeight="1">
      <c r="A415"/>
    </row>
    <row r="416" spans="1:1" ht="18.75" customHeight="1">
      <c r="A416"/>
    </row>
    <row r="417" spans="1:1" ht="18.75" customHeight="1">
      <c r="A417"/>
    </row>
    <row r="418" spans="1:1" ht="18.75" customHeight="1">
      <c r="A418"/>
    </row>
    <row r="419" spans="1:1" ht="18.75" customHeight="1">
      <c r="A419"/>
    </row>
    <row r="420" spans="1:1" ht="18.75" customHeight="1">
      <c r="A420"/>
    </row>
    <row r="421" spans="1:1" ht="18.75" customHeight="1">
      <c r="A421"/>
    </row>
    <row r="422" spans="1:1" ht="18.75" customHeight="1">
      <c r="A422"/>
    </row>
    <row r="423" spans="1:1" ht="18.75" customHeight="1">
      <c r="A423"/>
    </row>
    <row r="424" spans="1:1" ht="18.75" customHeight="1">
      <c r="A424"/>
    </row>
    <row r="425" spans="1:1" ht="18.75" customHeight="1">
      <c r="A425"/>
    </row>
    <row r="426" spans="1:1" ht="18.75" customHeight="1">
      <c r="A426"/>
    </row>
    <row r="427" spans="1:1" ht="18.75" customHeight="1">
      <c r="A427"/>
    </row>
    <row r="428" spans="1:1" ht="18.75" customHeight="1">
      <c r="A428"/>
    </row>
    <row r="429" spans="1:1" ht="18.75" customHeight="1">
      <c r="A429"/>
    </row>
    <row r="430" spans="1:1" ht="18.75" customHeight="1">
      <c r="A430"/>
    </row>
    <row r="431" spans="1:1" ht="18.75" customHeight="1">
      <c r="A431"/>
    </row>
    <row r="432" spans="1:1" ht="18.75" customHeight="1">
      <c r="A432"/>
    </row>
    <row r="433" spans="1:1" ht="18.75" customHeight="1">
      <c r="A433"/>
    </row>
    <row r="434" spans="1:1" ht="18.75" customHeight="1">
      <c r="A434"/>
    </row>
    <row r="435" spans="1:1" ht="18.75" customHeight="1">
      <c r="A435"/>
    </row>
    <row r="436" spans="1:1" ht="18.75" customHeight="1">
      <c r="A436"/>
    </row>
    <row r="437" spans="1:1" ht="18.75" customHeight="1">
      <c r="A437"/>
    </row>
    <row r="438" spans="1:1" ht="18.75" customHeight="1">
      <c r="A438"/>
    </row>
    <row r="439" spans="1:1" ht="18.75" customHeight="1">
      <c r="A439"/>
    </row>
    <row r="440" spans="1:1" ht="18.75" customHeight="1">
      <c r="A440"/>
    </row>
    <row r="441" spans="1:1" ht="18.75" customHeight="1">
      <c r="A441"/>
    </row>
    <row r="442" spans="1:1" ht="18.75" customHeight="1">
      <c r="A442"/>
    </row>
    <row r="443" spans="1:1" ht="18.75" customHeight="1">
      <c r="A443"/>
    </row>
    <row r="444" spans="1:1" ht="18.75" customHeight="1">
      <c r="A444"/>
    </row>
    <row r="445" spans="1:1" ht="18.75" customHeight="1">
      <c r="A445"/>
    </row>
    <row r="446" spans="1:1" ht="18.75" customHeight="1">
      <c r="A446"/>
    </row>
    <row r="447" spans="1:1" ht="18.75" customHeight="1">
      <c r="A447"/>
    </row>
    <row r="448" spans="1:1" ht="18.75" customHeight="1">
      <c r="A448"/>
    </row>
    <row r="449" spans="1:1" ht="18.75" customHeight="1">
      <c r="A449"/>
    </row>
    <row r="450" spans="1:1" ht="18.75" customHeight="1">
      <c r="A450"/>
    </row>
    <row r="451" spans="1:1" ht="18.75" customHeight="1">
      <c r="A451"/>
    </row>
    <row r="452" spans="1:1" ht="18.75" customHeight="1">
      <c r="A452"/>
    </row>
    <row r="453" spans="1:1" ht="18.75" customHeight="1">
      <c r="A453"/>
    </row>
    <row r="454" spans="1:1" ht="18.75" customHeight="1">
      <c r="A454"/>
    </row>
    <row r="455" spans="1:1" ht="18.75" customHeight="1">
      <c r="A455"/>
    </row>
    <row r="456" spans="1:1" ht="18.75" customHeight="1">
      <c r="A456"/>
    </row>
    <row r="457" spans="1:1" ht="18.75" customHeight="1">
      <c r="A457"/>
    </row>
    <row r="458" spans="1:1" ht="18.75" customHeight="1">
      <c r="A458"/>
    </row>
    <row r="459" spans="1:1" ht="18.75" customHeight="1">
      <c r="A459"/>
    </row>
    <row r="460" spans="1:1" ht="18.75" customHeight="1">
      <c r="A460"/>
    </row>
    <row r="461" spans="1:1" ht="18.75" customHeight="1">
      <c r="A461"/>
    </row>
    <row r="462" spans="1:1" ht="18.75" customHeight="1">
      <c r="A462"/>
    </row>
    <row r="463" spans="1:1" ht="18.75" customHeight="1">
      <c r="A463"/>
    </row>
    <row r="464" spans="1:1" ht="18.75" customHeight="1">
      <c r="A464"/>
    </row>
    <row r="465" spans="1:1" ht="18.75" customHeight="1">
      <c r="A465"/>
    </row>
    <row r="466" spans="1:1" ht="18.75" customHeight="1">
      <c r="A466"/>
    </row>
    <row r="467" spans="1:1" ht="18.75" customHeight="1">
      <c r="A467"/>
    </row>
    <row r="468" spans="1:1" ht="18.75" customHeight="1">
      <c r="A468"/>
    </row>
    <row r="469" spans="1:1" ht="18.75" customHeight="1">
      <c r="A469"/>
    </row>
    <row r="470" spans="1:1" ht="18.75" customHeight="1">
      <c r="A470"/>
    </row>
    <row r="471" spans="1:1" ht="18.75" customHeight="1">
      <c r="A471"/>
    </row>
    <row r="472" spans="1:1" ht="18.75" customHeight="1">
      <c r="A472"/>
    </row>
    <row r="473" spans="1:1" ht="18.75" customHeight="1">
      <c r="A473"/>
    </row>
    <row r="474" spans="1:1" ht="18.75" customHeight="1">
      <c r="A474"/>
    </row>
    <row r="475" spans="1:1" ht="18.75" customHeight="1">
      <c r="A475"/>
    </row>
    <row r="476" spans="1:1" ht="18.75" customHeight="1">
      <c r="A476"/>
    </row>
    <row r="477" spans="1:1" ht="18.75" customHeight="1">
      <c r="A477"/>
    </row>
    <row r="478" spans="1:1" ht="18.75" customHeight="1">
      <c r="A478"/>
    </row>
    <row r="479" spans="1:1" ht="18.75" customHeight="1">
      <c r="A479"/>
    </row>
    <row r="480" spans="1:1" ht="18.75" customHeight="1">
      <c r="A480"/>
    </row>
    <row r="481" spans="1:1" ht="18.75" customHeight="1">
      <c r="A481"/>
    </row>
    <row r="482" spans="1:1" ht="18.75" customHeight="1">
      <c r="A482"/>
    </row>
    <row r="483" spans="1:1" ht="18.75" customHeight="1">
      <c r="A483"/>
    </row>
    <row r="484" spans="1:1" ht="18.75" customHeight="1">
      <c r="A484"/>
    </row>
    <row r="485" spans="1:1" ht="18.75" customHeight="1">
      <c r="A485"/>
    </row>
    <row r="486" spans="1:1" ht="18.75" customHeight="1">
      <c r="A486"/>
    </row>
    <row r="487" spans="1:1" ht="18.75" customHeight="1">
      <c r="A487"/>
    </row>
    <row r="488" spans="1:1" ht="18.75" customHeight="1">
      <c r="A488"/>
    </row>
    <row r="489" spans="1:1" ht="18.75" customHeight="1">
      <c r="A489"/>
    </row>
    <row r="490" spans="1:1" ht="18.75" customHeight="1">
      <c r="A490"/>
    </row>
    <row r="491" spans="1:1" ht="18.75" customHeight="1">
      <c r="A491"/>
    </row>
    <row r="492" spans="1:1" ht="18.75" customHeight="1">
      <c r="A492"/>
    </row>
    <row r="493" spans="1:1" ht="18.75" customHeight="1">
      <c r="A493"/>
    </row>
    <row r="494" spans="1:1" ht="18.75" customHeight="1">
      <c r="A494"/>
    </row>
    <row r="495" spans="1:1" ht="18.75" customHeight="1">
      <c r="A495"/>
    </row>
    <row r="496" spans="1:1" ht="18.75" customHeight="1">
      <c r="A496"/>
    </row>
    <row r="497" spans="1:1" ht="18.75" customHeight="1">
      <c r="A497"/>
    </row>
    <row r="498" spans="1:1" ht="18.75" customHeight="1">
      <c r="A498"/>
    </row>
    <row r="499" spans="1:1" ht="18.75" customHeight="1">
      <c r="A499"/>
    </row>
    <row r="500" spans="1:1" ht="18.75" customHeight="1">
      <c r="A500"/>
    </row>
    <row r="501" spans="1:1" ht="18.75" customHeight="1">
      <c r="A501"/>
    </row>
    <row r="502" spans="1:1" ht="18.75" customHeight="1">
      <c r="A502"/>
    </row>
    <row r="503" spans="1:1" ht="18.75" customHeight="1">
      <c r="A503"/>
    </row>
    <row r="504" spans="1:1" ht="18.75" customHeight="1">
      <c r="A504"/>
    </row>
    <row r="505" spans="1:1" ht="18.75" customHeight="1">
      <c r="A505"/>
    </row>
    <row r="506" spans="1:1" ht="18.75" customHeight="1">
      <c r="A506"/>
    </row>
    <row r="507" spans="1:1" ht="18.75" customHeight="1">
      <c r="A507"/>
    </row>
    <row r="508" spans="1:1" ht="18.75" customHeight="1">
      <c r="A508"/>
    </row>
    <row r="509" spans="1:1" ht="18.75" customHeight="1">
      <c r="A509"/>
    </row>
    <row r="510" spans="1:1" ht="18.75" customHeight="1">
      <c r="A510"/>
    </row>
    <row r="511" spans="1:1" ht="18.75" customHeight="1">
      <c r="A511"/>
    </row>
    <row r="512" spans="1:1" ht="18.75" customHeight="1">
      <c r="A512"/>
    </row>
    <row r="513" spans="1:1" ht="18.75" customHeight="1">
      <c r="A513"/>
    </row>
    <row r="514" spans="1:1" ht="18.75" customHeight="1">
      <c r="A514"/>
    </row>
    <row r="515" spans="1:1" ht="18.75" customHeight="1">
      <c r="A515"/>
    </row>
    <row r="516" spans="1:1" ht="18.75" customHeight="1">
      <c r="A516"/>
    </row>
    <row r="517" spans="1:1" ht="18.75" customHeight="1">
      <c r="A517"/>
    </row>
    <row r="518" spans="1:1" ht="18.75" customHeight="1">
      <c r="A518"/>
    </row>
    <row r="519" spans="1:1" ht="18.75" customHeight="1">
      <c r="A519"/>
    </row>
    <row r="520" spans="1:1" ht="18.75" customHeight="1">
      <c r="A520"/>
    </row>
    <row r="521" spans="1:1" ht="18.75" customHeight="1">
      <c r="A521"/>
    </row>
    <row r="522" spans="1:1" ht="18.75" customHeight="1">
      <c r="A522"/>
    </row>
    <row r="523" spans="1:1" ht="18.75" customHeight="1">
      <c r="A523"/>
    </row>
    <row r="524" spans="1:1" ht="18.75" customHeight="1">
      <c r="A524"/>
    </row>
    <row r="525" spans="1:1" ht="18.75" customHeight="1">
      <c r="A525"/>
    </row>
    <row r="526" spans="1:1" ht="18.75" customHeight="1">
      <c r="A526"/>
    </row>
    <row r="527" spans="1:1" ht="18.75" customHeight="1">
      <c r="A527"/>
    </row>
    <row r="528" spans="1:1" ht="18.75" customHeight="1">
      <c r="A528"/>
    </row>
    <row r="529" spans="1:1" ht="18.75" customHeight="1">
      <c r="A529"/>
    </row>
    <row r="530" spans="1:1" ht="18.75" customHeight="1">
      <c r="A530"/>
    </row>
    <row r="531" spans="1:1" ht="18.75" customHeight="1">
      <c r="A531"/>
    </row>
    <row r="532" spans="1:1" ht="18.75" customHeight="1">
      <c r="A532"/>
    </row>
    <row r="533" spans="1:1" ht="18.75" customHeight="1">
      <c r="A533"/>
    </row>
    <row r="534" spans="1:1" ht="18.75" customHeight="1">
      <c r="A534"/>
    </row>
    <row r="535" spans="1:1" ht="18.75" customHeight="1">
      <c r="A535"/>
    </row>
    <row r="536" spans="1:1" ht="18.75" customHeight="1">
      <c r="A536"/>
    </row>
    <row r="537" spans="1:1" ht="18.75" customHeight="1">
      <c r="A537"/>
    </row>
    <row r="538" spans="1:1" ht="18.75" customHeight="1">
      <c r="A538"/>
    </row>
    <row r="539" spans="1:1" ht="18.75" customHeight="1">
      <c r="A539"/>
    </row>
    <row r="540" spans="1:1" ht="18.75" customHeight="1">
      <c r="A540"/>
    </row>
    <row r="541" spans="1:1" ht="18.75" customHeight="1">
      <c r="A541"/>
    </row>
    <row r="542" spans="1:1" ht="18.75" customHeight="1">
      <c r="A542"/>
    </row>
    <row r="543" spans="1:1" ht="18.75" customHeight="1">
      <c r="A543"/>
    </row>
    <row r="544" spans="1:1" ht="18.75" customHeight="1">
      <c r="A544"/>
    </row>
    <row r="545" spans="1:1" ht="18.75" customHeight="1">
      <c r="A545"/>
    </row>
    <row r="546" spans="1:1" ht="18.75" customHeight="1">
      <c r="A546"/>
    </row>
    <row r="547" spans="1:1" ht="18.75" customHeight="1">
      <c r="A547"/>
    </row>
    <row r="548" spans="1:1" ht="18.75" customHeight="1">
      <c r="A548"/>
    </row>
    <row r="549" spans="1:1" ht="18.75" customHeight="1">
      <c r="A549"/>
    </row>
    <row r="550" spans="1:1" ht="18.75" customHeight="1">
      <c r="A550"/>
    </row>
    <row r="551" spans="1:1" ht="18.75" customHeight="1">
      <c r="A551"/>
    </row>
    <row r="552" spans="1:1" ht="18.75" customHeight="1">
      <c r="A552"/>
    </row>
    <row r="553" spans="1:1" ht="18.75" customHeight="1">
      <c r="A553"/>
    </row>
    <row r="554" spans="1:1" ht="18.75" customHeight="1">
      <c r="A554"/>
    </row>
    <row r="555" spans="1:1" ht="18.75" customHeight="1">
      <c r="A555"/>
    </row>
    <row r="556" spans="1:1" ht="18.75" customHeight="1">
      <c r="A556"/>
    </row>
    <row r="557" spans="1:1" ht="18.75" customHeight="1">
      <c r="A557"/>
    </row>
    <row r="558" spans="1:1" ht="18.75" customHeight="1">
      <c r="A558"/>
    </row>
    <row r="559" spans="1:1" ht="18.75" customHeight="1">
      <c r="A559"/>
    </row>
    <row r="560" spans="1:1" ht="18.75" customHeight="1">
      <c r="A560"/>
    </row>
    <row r="561" spans="1:1" ht="18.75" customHeight="1">
      <c r="A561"/>
    </row>
    <row r="562" spans="1:1" ht="18.75" customHeight="1">
      <c r="A562"/>
    </row>
    <row r="563" spans="1:1" ht="18.75" customHeight="1">
      <c r="A563"/>
    </row>
    <row r="564" spans="1:1" ht="18.75" customHeight="1">
      <c r="A564"/>
    </row>
    <row r="565" spans="1:1" ht="18.75" customHeight="1">
      <c r="A565"/>
    </row>
    <row r="566" spans="1:1" ht="18.75" customHeight="1">
      <c r="A566"/>
    </row>
    <row r="567" spans="1:1" ht="18.75" customHeight="1">
      <c r="A567"/>
    </row>
    <row r="568" spans="1:1" ht="18.75" customHeight="1">
      <c r="A568"/>
    </row>
    <row r="569" spans="1:1" ht="18.75" customHeight="1">
      <c r="A569"/>
    </row>
    <row r="570" spans="1:1" ht="18.75" customHeight="1">
      <c r="A570"/>
    </row>
    <row r="571" spans="1:1" ht="18.75" customHeight="1">
      <c r="A571"/>
    </row>
    <row r="572" spans="1:1" ht="18.75" customHeight="1">
      <c r="A572"/>
    </row>
    <row r="573" spans="1:1" ht="18.75" customHeight="1">
      <c r="A573"/>
    </row>
    <row r="574" spans="1:1" ht="18.75" customHeight="1">
      <c r="A574"/>
    </row>
    <row r="575" spans="1:1" ht="18.75" customHeight="1">
      <c r="A575"/>
    </row>
    <row r="576" spans="1:1" ht="18.75" customHeight="1">
      <c r="A576"/>
    </row>
    <row r="577" spans="1:1" ht="18.75" customHeight="1">
      <c r="A577"/>
    </row>
    <row r="578" spans="1:1" ht="18.75" customHeight="1">
      <c r="A578"/>
    </row>
    <row r="579" spans="1:1" ht="18.75" customHeight="1">
      <c r="A579"/>
    </row>
    <row r="580" spans="1:1" ht="18.75" customHeight="1">
      <c r="A580"/>
    </row>
    <row r="581" spans="1:1" ht="18.75" customHeight="1">
      <c r="A581"/>
    </row>
    <row r="582" spans="1:1" ht="18.75" customHeight="1">
      <c r="A582"/>
    </row>
    <row r="583" spans="1:1" ht="18.75" customHeight="1">
      <c r="A583"/>
    </row>
    <row r="584" spans="1:1" ht="18.75" customHeight="1">
      <c r="A584"/>
    </row>
    <row r="585" spans="1:1" ht="18.75" customHeight="1">
      <c r="A585"/>
    </row>
    <row r="586" spans="1:1" ht="18.75" customHeight="1">
      <c r="A586"/>
    </row>
    <row r="587" spans="1:1" ht="18.75" customHeight="1">
      <c r="A587"/>
    </row>
    <row r="588" spans="1:1" ht="18.75" customHeight="1">
      <c r="A588"/>
    </row>
    <row r="589" spans="1:1" ht="18.75" customHeight="1">
      <c r="A589"/>
    </row>
    <row r="590" spans="1:1" ht="18.75" customHeight="1">
      <c r="A590"/>
    </row>
    <row r="591" spans="1:1" ht="18.75" customHeight="1">
      <c r="A591"/>
    </row>
    <row r="592" spans="1:1" ht="18.75" customHeight="1">
      <c r="A592"/>
    </row>
    <row r="593" spans="1:1" ht="18.75" customHeight="1">
      <c r="A593"/>
    </row>
    <row r="594" spans="1:1" ht="18.75" customHeight="1">
      <c r="A594"/>
    </row>
    <row r="595" spans="1:1" ht="18.75" customHeight="1">
      <c r="A595"/>
    </row>
    <row r="596" spans="1:1" ht="18.75" customHeight="1">
      <c r="A596"/>
    </row>
    <row r="597" spans="1:1" ht="18.75" customHeight="1">
      <c r="A597"/>
    </row>
    <row r="598" spans="1:1" ht="18.75" customHeight="1">
      <c r="A598"/>
    </row>
    <row r="599" spans="1:1" ht="18.75" customHeight="1">
      <c r="A599"/>
    </row>
    <row r="600" spans="1:1" ht="18.75" customHeight="1">
      <c r="A600"/>
    </row>
    <row r="601" spans="1:1" ht="18.75" customHeight="1">
      <c r="A601"/>
    </row>
    <row r="602" spans="1:1" ht="18.75" customHeight="1">
      <c r="A602"/>
    </row>
    <row r="603" spans="1:1" ht="18.75" customHeight="1">
      <c r="A603"/>
    </row>
    <row r="604" spans="1:1" ht="18.75" customHeight="1">
      <c r="A604"/>
    </row>
    <row r="605" spans="1:1" ht="18.75" customHeight="1">
      <c r="A605"/>
    </row>
    <row r="606" spans="1:1" ht="18.75" customHeight="1">
      <c r="A606"/>
    </row>
    <row r="607" spans="1:1" ht="18.75" customHeight="1">
      <c r="A607"/>
    </row>
    <row r="608" spans="1:1" ht="18.75" customHeight="1">
      <c r="A608"/>
    </row>
    <row r="609" spans="1:1" ht="18.75" customHeight="1">
      <c r="A609"/>
    </row>
    <row r="610" spans="1:1" ht="18.75" customHeight="1">
      <c r="A610"/>
    </row>
    <row r="611" spans="1:1" ht="18.75" customHeight="1">
      <c r="A611"/>
    </row>
    <row r="612" spans="1:1" ht="18.75" customHeight="1">
      <c r="A612"/>
    </row>
    <row r="613" spans="1:1" ht="18.75" customHeight="1">
      <c r="A613"/>
    </row>
    <row r="614" spans="1:1" ht="18.75" customHeight="1">
      <c r="A614"/>
    </row>
    <row r="615" spans="1:1" ht="18.75" customHeight="1">
      <c r="A615"/>
    </row>
    <row r="616" spans="1:1" ht="18.75" customHeight="1">
      <c r="A616"/>
    </row>
    <row r="617" spans="1:1" ht="18.75" customHeight="1">
      <c r="A617"/>
    </row>
    <row r="618" spans="1:1" ht="18.75" customHeight="1">
      <c r="A618"/>
    </row>
    <row r="619" spans="1:1" ht="18.75" customHeight="1">
      <c r="A619"/>
    </row>
    <row r="620" spans="1:1" ht="18.75" customHeight="1">
      <c r="A620"/>
    </row>
    <row r="621" spans="1:1" ht="18.75" customHeight="1">
      <c r="A621"/>
    </row>
    <row r="622" spans="1:1" ht="18.75" customHeight="1">
      <c r="A622"/>
    </row>
    <row r="623" spans="1:1" ht="18.75" customHeight="1">
      <c r="A623"/>
    </row>
    <row r="624" spans="1:1" ht="18.75" customHeight="1">
      <c r="A624"/>
    </row>
    <row r="625" spans="1:1" ht="18.75" customHeight="1">
      <c r="A625"/>
    </row>
    <row r="626" spans="1:1" ht="18.75" customHeight="1">
      <c r="A626"/>
    </row>
    <row r="627" spans="1:1" ht="18.75" customHeight="1">
      <c r="A627"/>
    </row>
    <row r="628" spans="1:1" ht="18.75" customHeight="1">
      <c r="A628"/>
    </row>
    <row r="629" spans="1:1" ht="18.75" customHeight="1">
      <c r="A629"/>
    </row>
    <row r="630" spans="1:1" ht="18.75" customHeight="1">
      <c r="A630"/>
    </row>
    <row r="631" spans="1:1" ht="18.75" customHeight="1">
      <c r="A631"/>
    </row>
    <row r="632" spans="1:1" ht="18.75" customHeight="1">
      <c r="A632"/>
    </row>
    <row r="633" spans="1:1" ht="18.75" customHeight="1">
      <c r="A633"/>
    </row>
    <row r="634" spans="1:1" ht="18.75" customHeight="1">
      <c r="A634"/>
    </row>
    <row r="635" spans="1:1" ht="18.75" customHeight="1">
      <c r="A635"/>
    </row>
    <row r="636" spans="1:1" ht="18.75" customHeight="1">
      <c r="A636"/>
    </row>
    <row r="637" spans="1:1" ht="18.75" customHeight="1">
      <c r="A637"/>
    </row>
    <row r="638" spans="1:1" ht="18.75" customHeight="1">
      <c r="A638"/>
    </row>
    <row r="639" spans="1:1" ht="18.75" customHeight="1">
      <c r="A639"/>
    </row>
    <row r="640" spans="1:1" ht="18.75" customHeight="1">
      <c r="A640"/>
    </row>
    <row r="641" spans="1:1" ht="18.75" customHeight="1">
      <c r="A641"/>
    </row>
    <row r="642" spans="1:1" ht="18.75" customHeight="1">
      <c r="A642"/>
    </row>
    <row r="643" spans="1:1" ht="18.75" customHeight="1">
      <c r="A643"/>
    </row>
    <row r="644" spans="1:1" ht="18.75" customHeight="1">
      <c r="A644"/>
    </row>
    <row r="645" spans="1:1" ht="18.75" customHeight="1">
      <c r="A645"/>
    </row>
    <row r="646" spans="1:1" ht="18.75" customHeight="1">
      <c r="A646"/>
    </row>
    <row r="647" spans="1:1" ht="18.75" customHeight="1">
      <c r="A647"/>
    </row>
    <row r="648" spans="1:1" ht="18.75" customHeight="1">
      <c r="A648"/>
    </row>
    <row r="649" spans="1:1" ht="18.75" customHeight="1">
      <c r="A649"/>
    </row>
    <row r="650" spans="1:1" ht="18.75" customHeight="1">
      <c r="A650"/>
    </row>
    <row r="651" spans="1:1" ht="18.75" customHeight="1">
      <c r="A651"/>
    </row>
    <row r="652" spans="1:1" ht="18.75" customHeight="1">
      <c r="A652"/>
    </row>
    <row r="653" spans="1:1" ht="18.75" customHeight="1">
      <c r="A653"/>
    </row>
    <row r="654" spans="1:1" ht="18.75" customHeight="1">
      <c r="A654"/>
    </row>
    <row r="655" spans="1:1" ht="18.75" customHeight="1">
      <c r="A655"/>
    </row>
    <row r="656" spans="1:1" ht="18.75" customHeight="1">
      <c r="A656"/>
    </row>
    <row r="657" spans="1:1" ht="18.75" customHeight="1">
      <c r="A657"/>
    </row>
    <row r="658" spans="1:1" ht="18.75" customHeight="1">
      <c r="A658"/>
    </row>
    <row r="659" spans="1:1" ht="18.75" customHeight="1">
      <c r="A659"/>
    </row>
    <row r="660" spans="1:1" ht="18.75" customHeight="1">
      <c r="A660"/>
    </row>
    <row r="661" spans="1:1" ht="18.75" customHeight="1">
      <c r="A661"/>
    </row>
    <row r="662" spans="1:1" ht="18.75" customHeight="1">
      <c r="A662"/>
    </row>
    <row r="663" spans="1:1" ht="18.75" customHeight="1">
      <c r="A663"/>
    </row>
    <row r="664" spans="1:1" ht="18.75" customHeight="1">
      <c r="A664"/>
    </row>
    <row r="665" spans="1:1" ht="18.75" customHeight="1">
      <c r="A665"/>
    </row>
    <row r="666" spans="1:1" ht="18.75" customHeight="1">
      <c r="A666"/>
    </row>
    <row r="667" spans="1:1" ht="18.75" customHeight="1">
      <c r="A667"/>
    </row>
    <row r="668" spans="1:1" ht="18.75" customHeight="1">
      <c r="A668"/>
    </row>
    <row r="669" spans="1:1" ht="18.75" customHeight="1">
      <c r="A669"/>
    </row>
    <row r="670" spans="1:1" ht="18.75" customHeight="1">
      <c r="A670"/>
    </row>
    <row r="671" spans="1:1" ht="18.75" customHeight="1">
      <c r="A671"/>
    </row>
    <row r="672" spans="1:1" ht="18.75" customHeight="1">
      <c r="A672"/>
    </row>
    <row r="673" spans="1:1" ht="18.75" customHeight="1">
      <c r="A673"/>
    </row>
    <row r="674" spans="1:1" ht="18.75" customHeight="1">
      <c r="A674"/>
    </row>
    <row r="675" spans="1:1" ht="18.75" customHeight="1">
      <c r="A675"/>
    </row>
    <row r="676" spans="1:1" ht="18.75" customHeight="1">
      <c r="A676"/>
    </row>
    <row r="677" spans="1:1" ht="18.75" customHeight="1">
      <c r="A677"/>
    </row>
    <row r="678" spans="1:1" ht="18.75" customHeight="1">
      <c r="A678"/>
    </row>
    <row r="679" spans="1:1" ht="18.75" customHeight="1">
      <c r="A679"/>
    </row>
    <row r="680" spans="1:1" ht="18.75" customHeight="1">
      <c r="A680"/>
    </row>
    <row r="681" spans="1:1" ht="18.75" customHeight="1">
      <c r="A681"/>
    </row>
    <row r="682" spans="1:1" ht="18.75" customHeight="1">
      <c r="A682"/>
    </row>
    <row r="683" spans="1:1" ht="18.75" customHeight="1">
      <c r="A683"/>
    </row>
    <row r="684" spans="1:1" ht="18.75" customHeight="1">
      <c r="A684"/>
    </row>
    <row r="685" spans="1:1" ht="18.75" customHeight="1">
      <c r="A685"/>
    </row>
    <row r="686" spans="1:1" ht="18.75" customHeight="1">
      <c r="A686"/>
    </row>
    <row r="687" spans="1:1" ht="18.75" customHeight="1">
      <c r="A687"/>
    </row>
    <row r="688" spans="1:1" ht="18.75" customHeight="1">
      <c r="A688"/>
    </row>
    <row r="689" spans="1:1" ht="18.75" customHeight="1">
      <c r="A689"/>
    </row>
    <row r="690" spans="1:1" ht="18.75" customHeight="1">
      <c r="A690"/>
    </row>
    <row r="691" spans="1:1" ht="18.75" customHeight="1">
      <c r="A691"/>
    </row>
    <row r="692" spans="1:1" ht="18.75" customHeight="1">
      <c r="A692"/>
    </row>
    <row r="693" spans="1:1" ht="18.75" customHeight="1">
      <c r="A693"/>
    </row>
    <row r="694" spans="1:1" ht="18.75" customHeight="1">
      <c r="A694"/>
    </row>
    <row r="695" spans="1:1" ht="18.75" customHeight="1">
      <c r="A695"/>
    </row>
    <row r="696" spans="1:1" ht="18.75" customHeight="1">
      <c r="A696"/>
    </row>
    <row r="697" spans="1:1" ht="18.75" customHeight="1">
      <c r="A697"/>
    </row>
    <row r="698" spans="1:1" ht="18.75" customHeight="1">
      <c r="A698"/>
    </row>
    <row r="699" spans="1:1" ht="18.75" customHeight="1">
      <c r="A699"/>
    </row>
    <row r="700" spans="1:1" ht="18.75" customHeight="1">
      <c r="A700"/>
    </row>
    <row r="701" spans="1:1" ht="18.75" customHeight="1">
      <c r="A701"/>
    </row>
    <row r="702" spans="1:1" ht="18.75" customHeight="1">
      <c r="A702"/>
    </row>
    <row r="703" spans="1:1" ht="18.75" customHeight="1">
      <c r="A703"/>
    </row>
    <row r="704" spans="1:1" ht="18.75" customHeight="1">
      <c r="A704"/>
    </row>
    <row r="705" spans="1:1" ht="18.75" customHeight="1">
      <c r="A705"/>
    </row>
    <row r="706" spans="1:1" ht="18.75" customHeight="1">
      <c r="A706"/>
    </row>
    <row r="707" spans="1:1" ht="18.75" customHeight="1">
      <c r="A707"/>
    </row>
    <row r="708" spans="1:1" ht="18.75" customHeight="1">
      <c r="A708"/>
    </row>
    <row r="709" spans="1:1" ht="18.75" customHeight="1">
      <c r="A709"/>
    </row>
    <row r="710" spans="1:1" ht="18.75" customHeight="1">
      <c r="A710"/>
    </row>
    <row r="711" spans="1:1" ht="18.75" customHeight="1">
      <c r="A711"/>
    </row>
    <row r="712" spans="1:1" ht="18.75" customHeight="1">
      <c r="A712"/>
    </row>
    <row r="713" spans="1:1" ht="18.75" customHeight="1">
      <c r="A713"/>
    </row>
    <row r="714" spans="1:1" ht="18.75" customHeight="1">
      <c r="A714"/>
    </row>
    <row r="715" spans="1:1" ht="18.75" customHeight="1">
      <c r="A715"/>
    </row>
    <row r="716" spans="1:1" ht="18.75" customHeight="1">
      <c r="A716"/>
    </row>
    <row r="717" spans="1:1" ht="18.75" customHeight="1">
      <c r="A717"/>
    </row>
    <row r="718" spans="1:1" ht="18.75" customHeight="1">
      <c r="A718"/>
    </row>
    <row r="719" spans="1:1" ht="18.75" customHeight="1">
      <c r="A719"/>
    </row>
    <row r="720" spans="1:1" ht="18.75" customHeight="1">
      <c r="A720"/>
    </row>
    <row r="721" spans="1:1" ht="18.75" customHeight="1">
      <c r="A721"/>
    </row>
    <row r="722" spans="1:1" ht="18.75" customHeight="1">
      <c r="A722"/>
    </row>
    <row r="723" spans="1:1" ht="18.75" customHeight="1">
      <c r="A723"/>
    </row>
    <row r="724" spans="1:1" ht="18.75" customHeight="1">
      <c r="A724"/>
    </row>
    <row r="725" spans="1:1" ht="18.75" customHeight="1">
      <c r="A725"/>
    </row>
    <row r="726" spans="1:1" ht="18.75" customHeight="1">
      <c r="A726"/>
    </row>
    <row r="727" spans="1:1" ht="18.75" customHeight="1">
      <c r="A727"/>
    </row>
    <row r="728" spans="1:1" ht="18.75" customHeight="1">
      <c r="A728"/>
    </row>
    <row r="729" spans="1:1" ht="18.75" customHeight="1">
      <c r="A729"/>
    </row>
    <row r="730" spans="1:1" ht="18.75" customHeight="1">
      <c r="A730"/>
    </row>
    <row r="731" spans="1:1" ht="18.75" customHeight="1">
      <c r="A731"/>
    </row>
    <row r="732" spans="1:1" ht="18.75" customHeight="1">
      <c r="A732"/>
    </row>
    <row r="733" spans="1:1" ht="18.75" customHeight="1">
      <c r="A733"/>
    </row>
    <row r="734" spans="1:1" ht="18.75" customHeight="1">
      <c r="A734"/>
    </row>
    <row r="735" spans="1:1" ht="18.75" customHeight="1">
      <c r="A735"/>
    </row>
    <row r="736" spans="1:1" ht="18.75" customHeight="1">
      <c r="A736"/>
    </row>
    <row r="737" spans="1:1" ht="18.75" customHeight="1">
      <c r="A737"/>
    </row>
    <row r="738" spans="1:1" ht="18.75" customHeight="1">
      <c r="A738"/>
    </row>
    <row r="739" spans="1:1" ht="18.75" customHeight="1">
      <c r="A739"/>
    </row>
    <row r="740" spans="1:1" ht="18.75" customHeight="1">
      <c r="A740"/>
    </row>
    <row r="741" spans="1:1" ht="18.75" customHeight="1">
      <c r="A741"/>
    </row>
    <row r="742" spans="1:1" ht="18.75" customHeight="1">
      <c r="A742"/>
    </row>
    <row r="743" spans="1:1" ht="18.75" customHeight="1">
      <c r="A743"/>
    </row>
    <row r="744" spans="1:1" ht="18.75" customHeight="1">
      <c r="A744"/>
    </row>
    <row r="745" spans="1:1" ht="18.75" customHeight="1">
      <c r="A745"/>
    </row>
    <row r="746" spans="1:1" ht="18.75" customHeight="1">
      <c r="A746"/>
    </row>
    <row r="747" spans="1:1" ht="18.75" customHeight="1">
      <c r="A747"/>
    </row>
    <row r="748" spans="1:1" ht="18.75" customHeight="1">
      <c r="A748"/>
    </row>
    <row r="749" spans="1:1" ht="18.75" customHeight="1">
      <c r="A749"/>
    </row>
    <row r="750" spans="1:1" ht="18.75" customHeight="1">
      <c r="A750"/>
    </row>
    <row r="751" spans="1:1" ht="18.75" customHeight="1">
      <c r="A751"/>
    </row>
    <row r="752" spans="1:1" ht="18.75" customHeight="1">
      <c r="A752"/>
    </row>
    <row r="753" spans="1:1" ht="18.75" customHeight="1">
      <c r="A753"/>
    </row>
    <row r="754" spans="1:1" ht="18.75" customHeight="1">
      <c r="A754"/>
    </row>
    <row r="755" spans="1:1" ht="18.75" customHeight="1">
      <c r="A755"/>
    </row>
    <row r="756" spans="1:1" ht="18.75" customHeight="1">
      <c r="A756"/>
    </row>
    <row r="757" spans="1:1" ht="18.75" customHeight="1">
      <c r="A757"/>
    </row>
    <row r="758" spans="1:1" ht="18.75" customHeight="1">
      <c r="A758"/>
    </row>
    <row r="759" spans="1:1" ht="18.75" customHeight="1">
      <c r="A759"/>
    </row>
    <row r="760" spans="1:1" ht="18.75" customHeight="1">
      <c r="A760"/>
    </row>
    <row r="761" spans="1:1" ht="18.75" customHeight="1">
      <c r="A761"/>
    </row>
    <row r="762" spans="1:1" ht="18.75" customHeight="1">
      <c r="A762"/>
    </row>
    <row r="763" spans="1:1" ht="18.75" customHeight="1">
      <c r="A763"/>
    </row>
    <row r="764" spans="1:1" ht="18.75" customHeight="1">
      <c r="A764"/>
    </row>
    <row r="765" spans="1:1" ht="18.75" customHeight="1">
      <c r="A765"/>
    </row>
    <row r="766" spans="1:1" ht="18.75" customHeight="1">
      <c r="A766"/>
    </row>
    <row r="767" spans="1:1" ht="18.75" customHeight="1">
      <c r="A767"/>
    </row>
    <row r="768" spans="1:1" ht="18.75" customHeight="1">
      <c r="A768"/>
    </row>
    <row r="769" spans="1:1" ht="18.75" customHeight="1">
      <c r="A769"/>
    </row>
    <row r="770" spans="1:1" ht="18.75" customHeight="1">
      <c r="A770"/>
    </row>
    <row r="771" spans="1:1" ht="18.75" customHeight="1">
      <c r="A771"/>
    </row>
    <row r="772" spans="1:1" ht="18.75" customHeight="1">
      <c r="A772"/>
    </row>
    <row r="773" spans="1:1" ht="18.75" customHeight="1">
      <c r="A773"/>
    </row>
    <row r="774" spans="1:1" ht="18.75" customHeight="1">
      <c r="A774"/>
    </row>
    <row r="775" spans="1:1" ht="18.75" customHeight="1">
      <c r="A775"/>
    </row>
    <row r="776" spans="1:1" ht="18.75" customHeight="1">
      <c r="A776"/>
    </row>
    <row r="777" spans="1:1" ht="18.75" customHeight="1">
      <c r="A777"/>
    </row>
    <row r="778" spans="1:1" ht="18.75" customHeight="1">
      <c r="A778"/>
    </row>
    <row r="779" spans="1:1" ht="18.75" customHeight="1">
      <c r="A779"/>
    </row>
    <row r="780" spans="1:1" ht="18.75" customHeight="1">
      <c r="A780"/>
    </row>
    <row r="781" spans="1:1" ht="18.75" customHeight="1">
      <c r="A781"/>
    </row>
    <row r="782" spans="1:1" ht="18.75" customHeight="1">
      <c r="A782"/>
    </row>
    <row r="783" spans="1:1" ht="18.75" customHeight="1">
      <c r="A783"/>
    </row>
    <row r="784" spans="1:1" ht="18.75" customHeight="1">
      <c r="A784"/>
    </row>
    <row r="785" spans="1:1" ht="18.75" customHeight="1">
      <c r="A785"/>
    </row>
    <row r="786" spans="1:1" ht="18.75" customHeight="1">
      <c r="A786"/>
    </row>
    <row r="787" spans="1:1" ht="18.75" customHeight="1">
      <c r="A787"/>
    </row>
    <row r="788" spans="1:1" ht="18.75" customHeight="1">
      <c r="A788"/>
    </row>
    <row r="789" spans="1:1" ht="18.75" customHeight="1">
      <c r="A789"/>
    </row>
    <row r="790" spans="1:1" ht="18.75" customHeight="1">
      <c r="A790"/>
    </row>
    <row r="791" spans="1:1" ht="18.75" customHeight="1">
      <c r="A791"/>
    </row>
    <row r="792" spans="1:1" ht="18.75" customHeight="1">
      <c r="A792"/>
    </row>
    <row r="793" spans="1:1" ht="18.75" customHeight="1">
      <c r="A793"/>
    </row>
    <row r="794" spans="1:1" ht="18.75" customHeight="1">
      <c r="A794"/>
    </row>
    <row r="795" spans="1:1" ht="18.75" customHeight="1">
      <c r="A795"/>
    </row>
    <row r="796" spans="1:1" ht="18.75" customHeight="1">
      <c r="A796"/>
    </row>
    <row r="797" spans="1:1" ht="18.75" customHeight="1">
      <c r="A797"/>
    </row>
    <row r="798" spans="1:1" ht="18.75" customHeight="1">
      <c r="A798"/>
    </row>
    <row r="799" spans="1:1" ht="18.75" customHeight="1">
      <c r="A799"/>
    </row>
    <row r="800" spans="1:1" ht="18.75" customHeight="1">
      <c r="A800"/>
    </row>
    <row r="801" spans="1:1" ht="18.75" customHeight="1">
      <c r="A801"/>
    </row>
    <row r="802" spans="1:1" ht="18.75" customHeight="1">
      <c r="A802"/>
    </row>
    <row r="803" spans="1:1" ht="18.75" customHeight="1">
      <c r="A803"/>
    </row>
    <row r="804" spans="1:1" ht="18.75" customHeight="1">
      <c r="A804"/>
    </row>
    <row r="805" spans="1:1" ht="18.75" customHeight="1">
      <c r="A805"/>
    </row>
    <row r="806" spans="1:1" ht="18.75" customHeight="1">
      <c r="A806"/>
    </row>
    <row r="807" spans="1:1" ht="18.75" customHeight="1">
      <c r="A807"/>
    </row>
    <row r="808" spans="1:1" ht="18.75" customHeight="1">
      <c r="A808"/>
    </row>
    <row r="809" spans="1:1" ht="18.75" customHeight="1">
      <c r="A809"/>
    </row>
    <row r="810" spans="1:1" ht="18.75" customHeight="1">
      <c r="A810"/>
    </row>
    <row r="811" spans="1:1" ht="18.75" customHeight="1">
      <c r="A811"/>
    </row>
    <row r="812" spans="1:1" ht="18.75" customHeight="1">
      <c r="A812"/>
    </row>
    <row r="813" spans="1:1" ht="18.75" customHeight="1">
      <c r="A813"/>
    </row>
    <row r="814" spans="1:1" ht="18.75" customHeight="1">
      <c r="A814"/>
    </row>
    <row r="815" spans="1:1" ht="18.75" customHeight="1">
      <c r="A815"/>
    </row>
    <row r="816" spans="1:1" ht="18.75" customHeight="1">
      <c r="A816"/>
    </row>
    <row r="817" spans="1:1" ht="18.75" customHeight="1">
      <c r="A817"/>
    </row>
    <row r="818" spans="1:1" ht="18.75" customHeight="1">
      <c r="A818"/>
    </row>
    <row r="819" spans="1:1" ht="18.75" customHeight="1">
      <c r="A819"/>
    </row>
    <row r="820" spans="1:1" ht="18.75" customHeight="1">
      <c r="A820"/>
    </row>
    <row r="821" spans="1:1" ht="18.75" customHeight="1">
      <c r="A821"/>
    </row>
    <row r="822" spans="1:1" ht="18.75" customHeight="1">
      <c r="A822"/>
    </row>
    <row r="823" spans="1:1" ht="18.75" customHeight="1">
      <c r="A823"/>
    </row>
    <row r="824" spans="1:1" ht="18.75" customHeight="1">
      <c r="A824"/>
    </row>
    <row r="825" spans="1:1" ht="18.75" customHeight="1">
      <c r="A825"/>
    </row>
    <row r="826" spans="1:1" ht="18.75" customHeight="1">
      <c r="A826"/>
    </row>
    <row r="827" spans="1:1" ht="18.75" customHeight="1">
      <c r="A827"/>
    </row>
    <row r="828" spans="1:1" ht="18.75" customHeight="1">
      <c r="A828"/>
    </row>
    <row r="829" spans="1:1" ht="18.75" customHeight="1">
      <c r="A829"/>
    </row>
    <row r="830" spans="1:1" ht="18.75" customHeight="1">
      <c r="A830"/>
    </row>
    <row r="831" spans="1:1" ht="18.75" customHeight="1">
      <c r="A831"/>
    </row>
    <row r="832" spans="1:1" ht="18.75" customHeight="1">
      <c r="A832"/>
    </row>
    <row r="833" spans="1:1" ht="18.75" customHeight="1">
      <c r="A833"/>
    </row>
    <row r="834" spans="1:1" ht="18.75" customHeight="1">
      <c r="A834"/>
    </row>
    <row r="835" spans="1:1" ht="18.75" customHeight="1">
      <c r="A835"/>
    </row>
    <row r="836" spans="1:1" ht="18.75" customHeight="1">
      <c r="A836"/>
    </row>
    <row r="837" spans="1:1" ht="18.75" customHeight="1">
      <c r="A837"/>
    </row>
    <row r="838" spans="1:1" ht="18.75" customHeight="1">
      <c r="A838"/>
    </row>
    <row r="839" spans="1:1" ht="18.75" customHeight="1">
      <c r="A839"/>
    </row>
    <row r="840" spans="1:1" ht="18.75" customHeight="1">
      <c r="A840"/>
    </row>
    <row r="841" spans="1:1" ht="18.75" customHeight="1">
      <c r="A841"/>
    </row>
    <row r="842" spans="1:1" ht="18.75" customHeight="1">
      <c r="A842"/>
    </row>
    <row r="843" spans="1:1" ht="18.75" customHeight="1">
      <c r="A843"/>
    </row>
    <row r="844" spans="1:1" ht="18.75" customHeight="1">
      <c r="A844"/>
    </row>
    <row r="845" spans="1:1" ht="18.75" customHeight="1">
      <c r="A845"/>
    </row>
    <row r="846" spans="1:1" ht="18.75" customHeight="1">
      <c r="A846"/>
    </row>
    <row r="847" spans="1:1" ht="18.75" customHeight="1">
      <c r="A847"/>
    </row>
    <row r="848" spans="1:1" ht="18.75" customHeight="1">
      <c r="A848"/>
    </row>
    <row r="849" spans="1:1" ht="18.75" customHeight="1">
      <c r="A849"/>
    </row>
    <row r="850" spans="1:1" ht="18.75" customHeight="1">
      <c r="A850"/>
    </row>
    <row r="851" spans="1:1" ht="18.75" customHeight="1">
      <c r="A851"/>
    </row>
    <row r="852" spans="1:1" ht="18.75" customHeight="1">
      <c r="A852"/>
    </row>
    <row r="853" spans="1:1" ht="18.75" customHeight="1">
      <c r="A853"/>
    </row>
    <row r="854" spans="1:1" ht="18.75" customHeight="1">
      <c r="A854"/>
    </row>
    <row r="855" spans="1:1" ht="18.75" customHeight="1">
      <c r="A855"/>
    </row>
    <row r="856" spans="1:1" ht="18.75" customHeight="1">
      <c r="A856"/>
    </row>
    <row r="857" spans="1:1" ht="18.75" customHeight="1">
      <c r="A857"/>
    </row>
    <row r="858" spans="1:1" ht="18.75" customHeight="1">
      <c r="A858"/>
    </row>
    <row r="859" spans="1:1" ht="18.75" customHeight="1">
      <c r="A859"/>
    </row>
    <row r="860" spans="1:1" ht="18.75" customHeight="1">
      <c r="A860"/>
    </row>
    <row r="861" spans="1:1" ht="18.75" customHeight="1">
      <c r="A861"/>
    </row>
    <row r="862" spans="1:1" ht="18.75" customHeight="1">
      <c r="A862"/>
    </row>
    <row r="863" spans="1:1" ht="18.75" customHeight="1">
      <c r="A863"/>
    </row>
    <row r="864" spans="1:1" ht="18.75" customHeight="1">
      <c r="A864"/>
    </row>
    <row r="865" spans="1:1" ht="18.75" customHeight="1">
      <c r="A865"/>
    </row>
    <row r="866" spans="1:1" ht="18.75" customHeight="1">
      <c r="A866"/>
    </row>
    <row r="867" spans="1:1" ht="18.75" customHeight="1">
      <c r="A867"/>
    </row>
    <row r="868" spans="1:1" ht="18.75" customHeight="1">
      <c r="A868"/>
    </row>
    <row r="869" spans="1:1" ht="18.75" customHeight="1">
      <c r="A869"/>
    </row>
    <row r="870" spans="1:1" ht="18.75" customHeight="1">
      <c r="A870"/>
    </row>
    <row r="871" spans="1:1" ht="18.75" customHeight="1">
      <c r="A871"/>
    </row>
    <row r="872" spans="1:1" ht="18.75" customHeight="1">
      <c r="A872"/>
    </row>
    <row r="873" spans="1:1" ht="18.75" customHeight="1">
      <c r="A873"/>
    </row>
    <row r="874" spans="1:1" ht="18.75" customHeight="1">
      <c r="A874"/>
    </row>
    <row r="875" spans="1:1" ht="18.75" customHeight="1">
      <c r="A875"/>
    </row>
    <row r="876" spans="1:1" ht="18.75" customHeight="1">
      <c r="A876"/>
    </row>
    <row r="877" spans="1:1" ht="18.75" customHeight="1">
      <c r="A877"/>
    </row>
    <row r="878" spans="1:1" ht="18.75" customHeight="1">
      <c r="A878"/>
    </row>
    <row r="879" spans="1:1" ht="18.75" customHeight="1">
      <c r="A879"/>
    </row>
    <row r="880" spans="1:1" ht="18.75" customHeight="1">
      <c r="A880"/>
    </row>
    <row r="881" spans="1:1" ht="18.75" customHeight="1">
      <c r="A881"/>
    </row>
    <row r="882" spans="1:1" ht="18.75" customHeight="1">
      <c r="A882"/>
    </row>
    <row r="883" spans="1:1" ht="18.75" customHeight="1">
      <c r="A883"/>
    </row>
    <row r="884" spans="1:1" ht="18.75" customHeight="1">
      <c r="A884"/>
    </row>
    <row r="885" spans="1:1" ht="18.75" customHeight="1">
      <c r="A885"/>
    </row>
    <row r="886" spans="1:1" ht="18.75" customHeight="1">
      <c r="A886"/>
    </row>
    <row r="887" spans="1:1" ht="18.75" customHeight="1">
      <c r="A887"/>
    </row>
    <row r="888" spans="1:1" ht="18.75" customHeight="1">
      <c r="A888"/>
    </row>
    <row r="889" spans="1:1" ht="18.75" customHeight="1">
      <c r="A889"/>
    </row>
    <row r="890" spans="1:1" ht="18.75" customHeight="1">
      <c r="A890"/>
    </row>
    <row r="891" spans="1:1" ht="18.75" customHeight="1">
      <c r="A891"/>
    </row>
    <row r="892" spans="1:1" ht="18.75" customHeight="1">
      <c r="A892"/>
    </row>
    <row r="893" spans="1:1" ht="18.75" customHeight="1">
      <c r="A893"/>
    </row>
    <row r="894" spans="1:1" ht="18.75" customHeight="1">
      <c r="A894"/>
    </row>
    <row r="895" spans="1:1" ht="18.75" customHeight="1">
      <c r="A895"/>
    </row>
    <row r="896" spans="1:1" ht="18.75" customHeight="1">
      <c r="A896"/>
    </row>
    <row r="897" spans="1:1" ht="18.75" customHeight="1">
      <c r="A897"/>
    </row>
    <row r="898" spans="1:1" ht="18.75" customHeight="1">
      <c r="A898"/>
    </row>
    <row r="899" spans="1:1" ht="18.75" customHeight="1">
      <c r="A899"/>
    </row>
    <row r="900" spans="1:1" ht="18.75" customHeight="1">
      <c r="A900"/>
    </row>
    <row r="901" spans="1:1" ht="18.75" customHeight="1">
      <c r="A901"/>
    </row>
    <row r="902" spans="1:1" ht="18.75" customHeight="1">
      <c r="A902"/>
    </row>
    <row r="903" spans="1:1" ht="18.75" customHeight="1">
      <c r="A903"/>
    </row>
    <row r="904" spans="1:1" ht="18.75" customHeight="1">
      <c r="A904"/>
    </row>
    <row r="905" spans="1:1" ht="18.75" customHeight="1">
      <c r="A905"/>
    </row>
    <row r="906" spans="1:1" ht="18.75" customHeight="1">
      <c r="A906"/>
    </row>
    <row r="907" spans="1:1" ht="18.75" customHeight="1">
      <c r="A907"/>
    </row>
    <row r="908" spans="1:1" ht="18.75" customHeight="1">
      <c r="A908"/>
    </row>
    <row r="909" spans="1:1" ht="18.75" customHeight="1">
      <c r="A909"/>
    </row>
    <row r="910" spans="1:1" ht="18.75" customHeight="1">
      <c r="A910"/>
    </row>
    <row r="911" spans="1:1" ht="18.75" customHeight="1">
      <c r="A911"/>
    </row>
    <row r="912" spans="1:1" ht="18.75" customHeight="1">
      <c r="A912"/>
    </row>
    <row r="913" spans="1:1" ht="18.75" customHeight="1">
      <c r="A913"/>
    </row>
    <row r="914" spans="1:1" ht="18.75" customHeight="1">
      <c r="A914"/>
    </row>
    <row r="915" spans="1:1" ht="18.75" customHeight="1">
      <c r="A915"/>
    </row>
    <row r="916" spans="1:1" ht="18.75" customHeight="1">
      <c r="A916"/>
    </row>
    <row r="917" spans="1:1" ht="18.75" customHeight="1">
      <c r="A917"/>
    </row>
    <row r="918" spans="1:1" ht="18.75" customHeight="1">
      <c r="A918"/>
    </row>
    <row r="919" spans="1:1" ht="18.75" customHeight="1">
      <c r="A919"/>
    </row>
    <row r="920" spans="1:1" ht="18.75" customHeight="1">
      <c r="A920"/>
    </row>
    <row r="921" spans="1:1" ht="18.75" customHeight="1">
      <c r="A921"/>
    </row>
    <row r="922" spans="1:1" ht="18.75" customHeight="1">
      <c r="A922"/>
    </row>
    <row r="923" spans="1:1" ht="18.75" customHeight="1">
      <c r="A923"/>
    </row>
    <row r="924" spans="1:1" ht="18.75" customHeight="1">
      <c r="A924"/>
    </row>
    <row r="925" spans="1:1" ht="18.75" customHeight="1">
      <c r="A925"/>
    </row>
    <row r="926" spans="1:1" ht="18.75" customHeight="1">
      <c r="A926"/>
    </row>
    <row r="927" spans="1:1" ht="18.75" customHeight="1">
      <c r="A927"/>
    </row>
    <row r="928" spans="1:1" ht="18.75" customHeight="1">
      <c r="A928"/>
    </row>
    <row r="929" spans="1:1" ht="18.75" customHeight="1">
      <c r="A929"/>
    </row>
    <row r="930" spans="1:1" ht="18.75" customHeight="1">
      <c r="A930"/>
    </row>
    <row r="931" spans="1:1" ht="18.75" customHeight="1">
      <c r="A931"/>
    </row>
    <row r="932" spans="1:1" ht="18.75" customHeight="1">
      <c r="A932"/>
    </row>
    <row r="933" spans="1:1" ht="18.75" customHeight="1">
      <c r="A933"/>
    </row>
    <row r="934" spans="1:1" ht="18.75" customHeight="1">
      <c r="A934"/>
    </row>
    <row r="935" spans="1:1" ht="18.75" customHeight="1">
      <c r="A935"/>
    </row>
    <row r="936" spans="1:1" ht="18.75" customHeight="1">
      <c r="A936"/>
    </row>
    <row r="937" spans="1:1" ht="18.75" customHeight="1">
      <c r="A937"/>
    </row>
    <row r="938" spans="1:1" ht="18.75" customHeight="1">
      <c r="A938"/>
    </row>
    <row r="939" spans="1:1" ht="18.75" customHeight="1">
      <c r="A939"/>
    </row>
    <row r="940" spans="1:1" ht="18.75" customHeight="1">
      <c r="A940"/>
    </row>
    <row r="941" spans="1:1" ht="18.75" customHeight="1">
      <c r="A941"/>
    </row>
    <row r="942" spans="1:1" ht="18.75" customHeight="1">
      <c r="A942"/>
    </row>
    <row r="943" spans="1:1" ht="18.75" customHeight="1">
      <c r="A943"/>
    </row>
    <row r="944" spans="1:1" ht="18.75" customHeight="1">
      <c r="A944"/>
    </row>
    <row r="945" spans="1:1" ht="18.75" customHeight="1">
      <c r="A945"/>
    </row>
    <row r="946" spans="1:1" ht="18.75" customHeight="1">
      <c r="A946"/>
    </row>
    <row r="947" spans="1:1" ht="18.75" customHeight="1">
      <c r="A947"/>
    </row>
    <row r="948" spans="1:1" ht="18.75" customHeight="1">
      <c r="A948"/>
    </row>
    <row r="949" spans="1:1" ht="18.75" customHeight="1">
      <c r="A949"/>
    </row>
    <row r="950" spans="1:1" ht="18.75" customHeight="1">
      <c r="A950"/>
    </row>
    <row r="951" spans="1:1" ht="18.75" customHeight="1">
      <c r="A951"/>
    </row>
    <row r="952" spans="1:1" ht="18.75" customHeight="1">
      <c r="A952"/>
    </row>
    <row r="953" spans="1:1" ht="18.75" customHeight="1">
      <c r="A953"/>
    </row>
    <row r="954" spans="1:1" ht="18.75" customHeight="1">
      <c r="A954"/>
    </row>
    <row r="955" spans="1:1" ht="18.75" customHeight="1">
      <c r="A955"/>
    </row>
    <row r="956" spans="1:1" ht="18.75" customHeight="1">
      <c r="A956"/>
    </row>
    <row r="957" spans="1:1" ht="18.75" customHeight="1">
      <c r="A957"/>
    </row>
    <row r="958" spans="1:1" ht="18.75" customHeight="1">
      <c r="A958"/>
    </row>
    <row r="959" spans="1:1" ht="18.75" customHeight="1">
      <c r="A959"/>
    </row>
    <row r="960" spans="1:1" ht="18.75" customHeight="1">
      <c r="A960"/>
    </row>
    <row r="961" spans="1:1" ht="18.75" customHeight="1">
      <c r="A961"/>
    </row>
    <row r="962" spans="1:1" ht="18.75" customHeight="1">
      <c r="A962"/>
    </row>
    <row r="963" spans="1:1" ht="18.75" customHeight="1">
      <c r="A963"/>
    </row>
    <row r="964" spans="1:1" ht="18.75" customHeight="1">
      <c r="A964"/>
    </row>
    <row r="965" spans="1:1" ht="18.75" customHeight="1">
      <c r="A965"/>
    </row>
    <row r="966" spans="1:1" ht="18.75" customHeight="1">
      <c r="A966"/>
    </row>
    <row r="967" spans="1:1" ht="18.75" customHeight="1">
      <c r="A967"/>
    </row>
    <row r="968" spans="1:1" ht="18.75" customHeight="1">
      <c r="A968"/>
    </row>
    <row r="969" spans="1:1" ht="18.75" customHeight="1">
      <c r="A969"/>
    </row>
    <row r="970" spans="1:1" ht="18.75" customHeight="1">
      <c r="A970"/>
    </row>
    <row r="971" spans="1:1" ht="18.75" customHeight="1">
      <c r="A971"/>
    </row>
    <row r="972" spans="1:1" ht="18.75" customHeight="1">
      <c r="A972"/>
    </row>
    <row r="973" spans="1:1" ht="18.75" customHeight="1">
      <c r="A973"/>
    </row>
    <row r="974" spans="1:1" ht="18.75" customHeight="1">
      <c r="A974"/>
    </row>
    <row r="975" spans="1:1" ht="18.75" customHeight="1">
      <c r="A975"/>
    </row>
    <row r="976" spans="1:1" ht="18.75" customHeight="1">
      <c r="A976"/>
    </row>
    <row r="977" spans="1:1" ht="18.75" customHeight="1">
      <c r="A977"/>
    </row>
    <row r="978" spans="1:1" ht="18.75" customHeight="1">
      <c r="A978"/>
    </row>
    <row r="979" spans="1:1" ht="18.75" customHeight="1">
      <c r="A979"/>
    </row>
    <row r="980" spans="1:1" ht="18.75" customHeight="1">
      <c r="A980"/>
    </row>
    <row r="981" spans="1:1" ht="18.75" customHeight="1">
      <c r="A981"/>
    </row>
    <row r="982" spans="1:1" ht="18.75" customHeight="1">
      <c r="A982"/>
    </row>
    <row r="983" spans="1:1" ht="18.75" customHeight="1">
      <c r="A983"/>
    </row>
    <row r="984" spans="1:1" ht="18.75" customHeight="1">
      <c r="A984"/>
    </row>
    <row r="985" spans="1:1" ht="18.75" customHeight="1">
      <c r="A985"/>
    </row>
    <row r="986" spans="1:1" ht="18.75" customHeight="1">
      <c r="A986"/>
    </row>
    <row r="987" spans="1:1" ht="18.75" customHeight="1">
      <c r="A987"/>
    </row>
    <row r="988" spans="1:1" ht="18.75" customHeight="1">
      <c r="A988"/>
    </row>
    <row r="989" spans="1:1" ht="18.75" customHeight="1">
      <c r="A989"/>
    </row>
    <row r="990" spans="1:1" ht="18.75" customHeight="1">
      <c r="A990"/>
    </row>
    <row r="991" spans="1:1" ht="18.75" customHeight="1">
      <c r="A991"/>
    </row>
    <row r="992" spans="1:1" ht="18.75" customHeight="1">
      <c r="A992"/>
    </row>
    <row r="993" spans="1:1" ht="18.75" customHeight="1">
      <c r="A993"/>
    </row>
    <row r="994" spans="1:1" ht="18.75" customHeight="1">
      <c r="A994"/>
    </row>
    <row r="995" spans="1:1" ht="18.75" customHeight="1">
      <c r="A995"/>
    </row>
    <row r="996" spans="1:1" ht="18.75" customHeight="1">
      <c r="A996"/>
    </row>
    <row r="997" spans="1:1" ht="18.75" customHeight="1">
      <c r="A997"/>
    </row>
    <row r="998" spans="1:1" ht="18.75" customHeight="1">
      <c r="A998"/>
    </row>
    <row r="999" spans="1:1" ht="18.75" customHeight="1">
      <c r="A999"/>
    </row>
    <row r="1000" spans="1:1" ht="18.75" customHeight="1">
      <c r="A1000"/>
    </row>
    <row r="1001" spans="1:1" ht="18.75" customHeight="1">
      <c r="A1001"/>
    </row>
    <row r="1002" spans="1:1" ht="18.75" customHeight="1">
      <c r="A1002"/>
    </row>
    <row r="1003" spans="1:1" ht="18.75" customHeight="1">
      <c r="A1003"/>
    </row>
    <row r="1004" spans="1:1" ht="18.75" customHeight="1">
      <c r="A1004"/>
    </row>
    <row r="1005" spans="1:1" ht="18.75" customHeight="1">
      <c r="A1005"/>
    </row>
    <row r="1006" spans="1:1" ht="18.75" customHeight="1">
      <c r="A1006"/>
    </row>
    <row r="1007" spans="1:1" ht="18.75" customHeight="1">
      <c r="A1007"/>
    </row>
    <row r="1008" spans="1:1" ht="18.75" customHeight="1">
      <c r="A1008"/>
    </row>
    <row r="1009" spans="1:1" ht="18.75" customHeight="1">
      <c r="A1009"/>
    </row>
    <row r="1010" spans="1:1" ht="18.75" customHeight="1">
      <c r="A1010"/>
    </row>
    <row r="1011" spans="1:1" ht="18.75" customHeight="1">
      <c r="A1011"/>
    </row>
    <row r="1012" spans="1:1" ht="18.75" customHeight="1">
      <c r="A1012"/>
    </row>
    <row r="1013" spans="1:1" ht="18.75" customHeight="1">
      <c r="A1013"/>
    </row>
    <row r="1014" spans="1:1" ht="18.75" customHeight="1">
      <c r="A1014"/>
    </row>
    <row r="1015" spans="1:1" ht="18.75" customHeight="1">
      <c r="A1015"/>
    </row>
    <row r="1016" spans="1:1" ht="18.75" customHeight="1">
      <c r="A1016"/>
    </row>
    <row r="1017" spans="1:1" ht="18.75" customHeight="1">
      <c r="A1017"/>
    </row>
    <row r="1018" spans="1:1" ht="18.75" customHeight="1">
      <c r="A1018"/>
    </row>
    <row r="1019" spans="1:1" ht="18.75" customHeight="1">
      <c r="A1019"/>
    </row>
    <row r="1020" spans="1:1" ht="18.75" customHeight="1">
      <c r="A1020"/>
    </row>
    <row r="1021" spans="1:1" ht="18.75" customHeight="1">
      <c r="A1021"/>
    </row>
    <row r="1022" spans="1:1" ht="18.75" customHeight="1">
      <c r="A1022"/>
    </row>
    <row r="1023" spans="1:1" ht="18.75" customHeight="1">
      <c r="A1023"/>
    </row>
    <row r="1024" spans="1:1" ht="18.75" customHeight="1">
      <c r="A1024"/>
    </row>
    <row r="1025" spans="1:1" ht="18.75" customHeight="1">
      <c r="A1025"/>
    </row>
    <row r="1026" spans="1:1" ht="18.75" customHeight="1">
      <c r="A1026"/>
    </row>
    <row r="1027" spans="1:1" ht="18.75" customHeight="1">
      <c r="A1027"/>
    </row>
    <row r="1028" spans="1:1" ht="18.75" customHeight="1">
      <c r="A1028"/>
    </row>
    <row r="1029" spans="1:1" ht="18.75" customHeight="1">
      <c r="A1029"/>
    </row>
    <row r="1030" spans="1:1" ht="18.75" customHeight="1">
      <c r="A1030"/>
    </row>
    <row r="1031" spans="1:1" ht="18.75" customHeight="1">
      <c r="A1031"/>
    </row>
    <row r="1032" spans="1:1" ht="18.75" customHeight="1">
      <c r="A1032"/>
    </row>
    <row r="1033" spans="1:1" ht="18.75" customHeight="1">
      <c r="A1033"/>
    </row>
    <row r="1034" spans="1:1" ht="18.75" customHeight="1">
      <c r="A1034"/>
    </row>
    <row r="1035" spans="1:1" ht="18.75" customHeight="1">
      <c r="A1035"/>
    </row>
    <row r="1036" spans="1:1" ht="18.75" customHeight="1">
      <c r="A1036"/>
    </row>
    <row r="1037" spans="1:1" ht="18.75" customHeight="1">
      <c r="A1037"/>
    </row>
    <row r="1038" spans="1:1" ht="18.75" customHeight="1">
      <c r="A1038"/>
    </row>
    <row r="1039" spans="1:1" ht="18.75" customHeight="1">
      <c r="A1039"/>
    </row>
    <row r="1040" spans="1:1" ht="18.75" customHeight="1">
      <c r="A1040"/>
    </row>
    <row r="1041" spans="1:1" ht="18.75" customHeight="1">
      <c r="A1041"/>
    </row>
    <row r="1042" spans="1:1" ht="18.75" customHeight="1">
      <c r="A1042"/>
    </row>
    <row r="1043" spans="1:1" ht="18.75" customHeight="1">
      <c r="A1043"/>
    </row>
    <row r="1044" spans="1:1" ht="18.75" customHeight="1">
      <c r="A1044"/>
    </row>
    <row r="1045" spans="1:1" ht="18.75" customHeight="1">
      <c r="A1045"/>
    </row>
    <row r="1046" spans="1:1" ht="18.75" customHeight="1">
      <c r="A1046"/>
    </row>
    <row r="1047" spans="1:1" ht="18.75" customHeight="1">
      <c r="A1047"/>
    </row>
    <row r="1048" spans="1:1" ht="18.75" customHeight="1">
      <c r="A1048"/>
    </row>
    <row r="1049" spans="1:1" ht="18.75" customHeight="1">
      <c r="A1049"/>
    </row>
    <row r="1050" spans="1:1" ht="18.75" customHeight="1">
      <c r="A1050"/>
    </row>
    <row r="1051" spans="1:1" ht="18.75" customHeight="1">
      <c r="A1051"/>
    </row>
    <row r="1052" spans="1:1" ht="18.75" customHeight="1">
      <c r="A1052"/>
    </row>
    <row r="1053" spans="1:1" ht="18.75" customHeight="1">
      <c r="A1053"/>
    </row>
    <row r="1054" spans="1:1" ht="18.75" customHeight="1">
      <c r="A1054"/>
    </row>
    <row r="1055" spans="1:1" ht="18.75" customHeight="1">
      <c r="A1055"/>
    </row>
    <row r="1056" spans="1:1" ht="18.75" customHeight="1">
      <c r="A1056"/>
    </row>
    <row r="1057" spans="1:1" ht="18.75" customHeight="1">
      <c r="A1057"/>
    </row>
    <row r="1058" spans="1:1" ht="18.75" customHeight="1">
      <c r="A1058"/>
    </row>
    <row r="1059" spans="1:1" ht="18.75" customHeight="1">
      <c r="A1059"/>
    </row>
    <row r="1060" spans="1:1" ht="18.75" customHeight="1">
      <c r="A1060"/>
    </row>
    <row r="1061" spans="1:1" ht="18.75" customHeight="1">
      <c r="A1061"/>
    </row>
    <row r="1062" spans="1:1" ht="18.75" customHeight="1">
      <c r="A1062"/>
    </row>
    <row r="1063" spans="1:1" ht="18.75" customHeight="1">
      <c r="A1063"/>
    </row>
    <row r="1064" spans="1:1" ht="18.75" customHeight="1">
      <c r="A1064"/>
    </row>
    <row r="1065" spans="1:1" ht="18.75" customHeight="1">
      <c r="A1065"/>
    </row>
    <row r="1066" spans="1:1" ht="18.75" customHeight="1">
      <c r="A1066"/>
    </row>
    <row r="1067" spans="1:1" ht="18.75" customHeight="1">
      <c r="A1067"/>
    </row>
    <row r="1068" spans="1:1" ht="18.75" customHeight="1">
      <c r="A1068"/>
    </row>
    <row r="1069" spans="1:1" ht="18.75" customHeight="1">
      <c r="A1069"/>
    </row>
    <row r="1070" spans="1:1" ht="18.75" customHeight="1">
      <c r="A1070"/>
    </row>
    <row r="1071" spans="1:1" ht="18.75" customHeight="1">
      <c r="A1071"/>
    </row>
    <row r="1072" spans="1:1" ht="18.75" customHeight="1">
      <c r="A1072"/>
    </row>
    <row r="1073" spans="1:1" ht="18.75" customHeight="1">
      <c r="A1073"/>
    </row>
    <row r="1074" spans="1:1" ht="18.75" customHeight="1">
      <c r="A1074"/>
    </row>
    <row r="1075" spans="1:1" ht="18.75" customHeight="1">
      <c r="A1075"/>
    </row>
    <row r="1076" spans="1:1" ht="18.75" customHeight="1">
      <c r="A1076"/>
    </row>
    <row r="1077" spans="1:1" ht="18.75" customHeight="1">
      <c r="A1077"/>
    </row>
    <row r="1078" spans="1:1" ht="18.75" customHeight="1">
      <c r="A1078"/>
    </row>
    <row r="1079" spans="1:1" ht="18.75" customHeight="1">
      <c r="A1079"/>
    </row>
    <row r="1080" spans="1:1" ht="18.75" customHeight="1">
      <c r="A1080"/>
    </row>
    <row r="1081" spans="1:1" ht="18.75" customHeight="1">
      <c r="A1081"/>
    </row>
    <row r="1082" spans="1:1" ht="18.75" customHeight="1">
      <c r="A1082"/>
    </row>
    <row r="1083" spans="1:1" ht="18.75" customHeight="1">
      <c r="A1083"/>
    </row>
    <row r="1084" spans="1:1" ht="18.75" customHeight="1">
      <c r="A1084"/>
    </row>
    <row r="1085" spans="1:1" ht="18.75" customHeight="1">
      <c r="A1085"/>
    </row>
    <row r="1086" spans="1:1" ht="18.75" customHeight="1">
      <c r="A1086"/>
    </row>
    <row r="1087" spans="1:1" ht="18.75" customHeight="1">
      <c r="A1087"/>
    </row>
    <row r="1088" spans="1:1" ht="18.75" customHeight="1">
      <c r="A1088"/>
    </row>
    <row r="1089" spans="1:1" ht="18.75" customHeight="1">
      <c r="A1089"/>
    </row>
    <row r="1090" spans="1:1" ht="18.75" customHeight="1">
      <c r="A1090"/>
    </row>
    <row r="1091" spans="1:1" ht="18.75" customHeight="1">
      <c r="A1091"/>
    </row>
    <row r="1092" spans="1:1" ht="18.75" customHeight="1">
      <c r="A1092"/>
    </row>
    <row r="1093" spans="1:1" ht="18.75" customHeight="1">
      <c r="A1093"/>
    </row>
    <row r="1094" spans="1:1" ht="18.75" customHeight="1">
      <c r="A1094"/>
    </row>
    <row r="1095" spans="1:1" ht="18.75" customHeight="1">
      <c r="A1095"/>
    </row>
    <row r="1096" spans="1:1" ht="18.75" customHeight="1">
      <c r="A1096"/>
    </row>
    <row r="1097" spans="1:1" ht="18.75" customHeight="1">
      <c r="A1097"/>
    </row>
    <row r="1098" spans="1:1" ht="18.75" customHeight="1">
      <c r="A1098"/>
    </row>
    <row r="1099" spans="1:1" ht="18.75" customHeight="1">
      <c r="A1099"/>
    </row>
    <row r="1100" spans="1:1" ht="18.75" customHeight="1">
      <c r="A1100"/>
    </row>
    <row r="1101" spans="1:1" ht="18.75" customHeight="1">
      <c r="A1101"/>
    </row>
    <row r="1102" spans="1:1" ht="18.75" customHeight="1">
      <c r="A1102"/>
    </row>
    <row r="1103" spans="1:1" ht="18.75" customHeight="1">
      <c r="A1103"/>
    </row>
    <row r="1104" spans="1:1" ht="18.75" customHeight="1">
      <c r="A1104"/>
    </row>
    <row r="1105" spans="1:1" ht="18.75" customHeight="1">
      <c r="A1105"/>
    </row>
    <row r="1106" spans="1:1" ht="18.75" customHeight="1">
      <c r="A1106"/>
    </row>
    <row r="1107" spans="1:1" ht="18.75" customHeight="1">
      <c r="A1107"/>
    </row>
    <row r="1108" spans="1:1" ht="18.75" customHeight="1">
      <c r="A1108"/>
    </row>
    <row r="1109" spans="1:1" ht="18.75" customHeight="1">
      <c r="A1109"/>
    </row>
    <row r="1110" spans="1:1" ht="18.75" customHeight="1">
      <c r="A1110"/>
    </row>
    <row r="1111" spans="1:1" ht="18.75" customHeight="1">
      <c r="A1111"/>
    </row>
    <row r="1112" spans="1:1" ht="18.75" customHeight="1">
      <c r="A1112"/>
    </row>
    <row r="1113" spans="1:1" ht="18.75" customHeight="1">
      <c r="A1113"/>
    </row>
    <row r="1114" spans="1:1" ht="18.75" customHeight="1">
      <c r="A1114"/>
    </row>
    <row r="1115" spans="1:1" ht="18.75" customHeight="1">
      <c r="A1115"/>
    </row>
    <row r="1116" spans="1:1" ht="18.75" customHeight="1">
      <c r="A1116"/>
    </row>
    <row r="1117" spans="1:1" ht="18.75" customHeight="1">
      <c r="A1117"/>
    </row>
    <row r="1118" spans="1:1" ht="18.75" customHeight="1">
      <c r="A1118"/>
    </row>
    <row r="1119" spans="1:1" ht="18.75" customHeight="1">
      <c r="A1119"/>
    </row>
    <row r="1120" spans="1:1" ht="18.75" customHeight="1">
      <c r="A1120"/>
    </row>
    <row r="1121" spans="1:1" ht="18.75" customHeight="1">
      <c r="A1121"/>
    </row>
    <row r="1122" spans="1:1" ht="18.75" customHeight="1">
      <c r="A1122"/>
    </row>
    <row r="1123" spans="1:1" ht="18.75" customHeight="1">
      <c r="A1123"/>
    </row>
    <row r="1124" spans="1:1" ht="18.75" customHeight="1">
      <c r="A1124"/>
    </row>
    <row r="1125" spans="1:1" ht="18.75" customHeight="1">
      <c r="A1125"/>
    </row>
    <row r="1126" spans="1:1" ht="18.75" customHeight="1">
      <c r="A1126"/>
    </row>
    <row r="1127" spans="1:1" ht="18.75" customHeight="1">
      <c r="A1127"/>
    </row>
    <row r="1128" spans="1:1" ht="18.75" customHeight="1">
      <c r="A1128"/>
    </row>
    <row r="1129" spans="1:1" ht="18.75" customHeight="1">
      <c r="A1129"/>
    </row>
    <row r="1130" spans="1:1" ht="18.75" customHeight="1">
      <c r="A1130"/>
    </row>
    <row r="1131" spans="1:1" ht="18.75" customHeight="1">
      <c r="A1131"/>
    </row>
    <row r="1132" spans="1:1" ht="18.75" customHeight="1">
      <c r="A1132"/>
    </row>
    <row r="1133" spans="1:1" ht="18.75" customHeight="1">
      <c r="A1133"/>
    </row>
    <row r="1134" spans="1:1" ht="18.75" customHeight="1">
      <c r="A1134"/>
    </row>
    <row r="1135" spans="1:1" ht="18.75" customHeight="1">
      <c r="A1135"/>
    </row>
    <row r="1136" spans="1:1" ht="18.75" customHeight="1">
      <c r="A1136"/>
    </row>
    <row r="1137" spans="1:1" ht="18.75" customHeight="1">
      <c r="A1137"/>
    </row>
    <row r="1138" spans="1:1" ht="18.75" customHeight="1">
      <c r="A1138"/>
    </row>
    <row r="1139" spans="1:1" ht="18.75" customHeight="1">
      <c r="A1139"/>
    </row>
    <row r="1140" spans="1:1" ht="18.75" customHeight="1">
      <c r="A1140"/>
    </row>
    <row r="1141" spans="1:1" ht="18.75" customHeight="1">
      <c r="A1141"/>
    </row>
    <row r="1142" spans="1:1" ht="18.75" customHeight="1">
      <c r="A1142"/>
    </row>
    <row r="1143" spans="1:1" ht="18.75" customHeight="1">
      <c r="A1143"/>
    </row>
    <row r="1144" spans="1:1" ht="18.75" customHeight="1">
      <c r="A1144"/>
    </row>
    <row r="1145" spans="1:1" ht="18.75" customHeight="1">
      <c r="A1145"/>
    </row>
    <row r="1146" spans="1:1" ht="18.75" customHeight="1">
      <c r="A1146"/>
    </row>
    <row r="1147" spans="1:1" ht="18.75" customHeight="1">
      <c r="A1147"/>
    </row>
    <row r="1148" spans="1:1" ht="18.75" customHeight="1">
      <c r="A1148"/>
    </row>
    <row r="1149" spans="1:1" ht="18.75" customHeight="1">
      <c r="A1149"/>
    </row>
    <row r="1150" spans="1:1" ht="18.75" customHeight="1">
      <c r="A1150"/>
    </row>
    <row r="1151" spans="1:1" ht="18.75" customHeight="1">
      <c r="A1151"/>
    </row>
    <row r="1152" spans="1:1" ht="18.75" customHeight="1">
      <c r="A1152"/>
    </row>
    <row r="1153" spans="1:1" ht="18.75" customHeight="1">
      <c r="A1153"/>
    </row>
    <row r="1154" spans="1:1" ht="18.75" customHeight="1">
      <c r="A1154"/>
    </row>
    <row r="1155" spans="1:1" ht="18.75" customHeight="1">
      <c r="A1155"/>
    </row>
    <row r="1156" spans="1:1" ht="18.75" customHeight="1">
      <c r="A1156"/>
    </row>
    <row r="1157" spans="1:1" ht="18.75" customHeight="1">
      <c r="A1157"/>
    </row>
    <row r="1158" spans="1:1" ht="18.75" customHeight="1">
      <c r="A1158"/>
    </row>
    <row r="1159" spans="1:1" ht="18.75" customHeight="1">
      <c r="A1159"/>
    </row>
    <row r="1160" spans="1:1" ht="18.75" customHeight="1">
      <c r="A1160"/>
    </row>
    <row r="1161" spans="1:1" ht="18.75" customHeight="1">
      <c r="A1161"/>
    </row>
    <row r="1162" spans="1:1" ht="18.75" customHeight="1">
      <c r="A1162"/>
    </row>
    <row r="1163" spans="1:1" ht="18.75" customHeight="1">
      <c r="A1163"/>
    </row>
    <row r="1164" spans="1:1" ht="18.75" customHeight="1">
      <c r="A1164"/>
    </row>
    <row r="1165" spans="1:1" ht="18.75" customHeight="1">
      <c r="A1165"/>
    </row>
    <row r="1166" spans="1:1" ht="18.75" customHeight="1">
      <c r="A1166"/>
    </row>
    <row r="1167" spans="1:1" ht="18.75" customHeight="1">
      <c r="A1167"/>
    </row>
    <row r="1168" spans="1:1" ht="18.75" customHeight="1">
      <c r="A1168"/>
    </row>
    <row r="1169" spans="1:1" ht="18.75" customHeight="1">
      <c r="A1169"/>
    </row>
    <row r="1170" spans="1:1" ht="18.75" customHeight="1">
      <c r="A1170"/>
    </row>
    <row r="1171" spans="1:1" ht="18.75" customHeight="1">
      <c r="A1171"/>
    </row>
    <row r="1172" spans="1:1" ht="18.75" customHeight="1">
      <c r="A1172"/>
    </row>
    <row r="1173" spans="1:1" ht="18.75" customHeight="1">
      <c r="A1173"/>
    </row>
    <row r="1174" spans="1:1" ht="18.75" customHeight="1">
      <c r="A1174"/>
    </row>
    <row r="1175" spans="1:1" ht="18.75" customHeight="1">
      <c r="A1175"/>
    </row>
    <row r="1176" spans="1:1" ht="18.75" customHeight="1">
      <c r="A1176"/>
    </row>
    <row r="1177" spans="1:1" ht="18.75" customHeight="1">
      <c r="A1177"/>
    </row>
    <row r="1178" spans="1:1" ht="18.75" customHeight="1">
      <c r="A1178"/>
    </row>
    <row r="1179" spans="1:1" ht="18.75" customHeight="1">
      <c r="A1179"/>
    </row>
    <row r="1180" spans="1:1" ht="18.75" customHeight="1">
      <c r="A1180"/>
    </row>
    <row r="1181" spans="1:1" ht="18.75" customHeight="1">
      <c r="A1181"/>
    </row>
    <row r="1182" spans="1:1" ht="18.75" customHeight="1">
      <c r="A1182"/>
    </row>
    <row r="1183" spans="1:1" ht="18.75" customHeight="1">
      <c r="A1183"/>
    </row>
    <row r="1184" spans="1:1" ht="18.75" customHeight="1">
      <c r="A1184"/>
    </row>
    <row r="1185" spans="1:1" ht="18.75" customHeight="1">
      <c r="A1185"/>
    </row>
    <row r="1186" spans="1:1" ht="18.75" customHeight="1">
      <c r="A1186"/>
    </row>
    <row r="1187" spans="1:1" ht="18.75" customHeight="1">
      <c r="A1187"/>
    </row>
    <row r="1188" spans="1:1" ht="18.75" customHeight="1">
      <c r="A1188"/>
    </row>
    <row r="1189" spans="1:1" ht="18.75" customHeight="1">
      <c r="A1189"/>
    </row>
    <row r="1190" spans="1:1" ht="18.75" customHeight="1">
      <c r="A1190"/>
    </row>
    <row r="1191" spans="1:1" ht="18.75" customHeight="1">
      <c r="A1191"/>
    </row>
    <row r="1192" spans="1:1" ht="18.75" customHeight="1">
      <c r="A1192"/>
    </row>
    <row r="1193" spans="1:1" ht="18.75" customHeight="1">
      <c r="A1193"/>
    </row>
    <row r="1194" spans="1:1" ht="18.75" customHeight="1">
      <c r="A1194"/>
    </row>
    <row r="1195" spans="1:1" ht="18.75" customHeight="1">
      <c r="A1195"/>
    </row>
    <row r="1196" spans="1:1" ht="18.75" customHeight="1">
      <c r="A1196"/>
    </row>
    <row r="1197" spans="1:1" ht="18.75" customHeight="1">
      <c r="A1197"/>
    </row>
    <row r="1198" spans="1:1" ht="18.75" customHeight="1">
      <c r="A1198"/>
    </row>
    <row r="1199" spans="1:1" ht="18.75" customHeight="1">
      <c r="A1199"/>
    </row>
    <row r="1200" spans="1:1" ht="18.75" customHeight="1">
      <c r="A1200"/>
    </row>
    <row r="1201" spans="1:1" ht="18.75" customHeight="1">
      <c r="A1201"/>
    </row>
    <row r="1202" spans="1:1" ht="18.75" customHeight="1">
      <c r="A1202"/>
    </row>
    <row r="1203" spans="1:1" ht="18.75" customHeight="1">
      <c r="A1203"/>
    </row>
    <row r="1204" spans="1:1" ht="18.75" customHeight="1">
      <c r="A1204"/>
    </row>
    <row r="1205" spans="1:1" ht="18.75" customHeight="1">
      <c r="A1205"/>
    </row>
    <row r="1206" spans="1:1" ht="18.75" customHeight="1">
      <c r="A1206"/>
    </row>
    <row r="1207" spans="1:1" ht="18.75" customHeight="1">
      <c r="A1207"/>
    </row>
    <row r="1208" spans="1:1" ht="18.75" customHeight="1">
      <c r="A1208"/>
    </row>
    <row r="1209" spans="1:1" ht="18.75" customHeight="1">
      <c r="A1209"/>
    </row>
    <row r="1210" spans="1:1" ht="18.75" customHeight="1">
      <c r="A1210"/>
    </row>
    <row r="1211" spans="1:1" ht="18.75" customHeight="1">
      <c r="A1211"/>
    </row>
    <row r="1212" spans="1:1" ht="18.75" customHeight="1">
      <c r="A1212"/>
    </row>
    <row r="1213" spans="1:1" ht="18.75" customHeight="1">
      <c r="A1213"/>
    </row>
    <row r="1214" spans="1:1" ht="18.75" customHeight="1">
      <c r="A1214"/>
    </row>
    <row r="1215" spans="1:1" ht="18.75" customHeight="1">
      <c r="A1215"/>
    </row>
    <row r="1216" spans="1:1" ht="18.75" customHeight="1">
      <c r="A1216"/>
    </row>
    <row r="1217" spans="1:1" ht="18.75" customHeight="1">
      <c r="A1217"/>
    </row>
    <row r="1218" spans="1:1" ht="18.75" customHeight="1">
      <c r="A1218"/>
    </row>
    <row r="1219" spans="1:1" ht="18.75" customHeight="1">
      <c r="A1219"/>
    </row>
    <row r="1220" spans="1:1" ht="18.75" customHeight="1">
      <c r="A1220"/>
    </row>
    <row r="1221" spans="1:1" ht="18.75" customHeight="1">
      <c r="A1221"/>
    </row>
    <row r="1222" spans="1:1" ht="18.75" customHeight="1">
      <c r="A1222"/>
    </row>
    <row r="1223" spans="1:1" ht="18.75" customHeight="1">
      <c r="A1223"/>
    </row>
    <row r="1224" spans="1:1" ht="18.75" customHeight="1">
      <c r="A1224"/>
    </row>
    <row r="1225" spans="1:1" ht="18.75" customHeight="1">
      <c r="A1225"/>
    </row>
    <row r="1226" spans="1:1" ht="18.75" customHeight="1">
      <c r="A1226"/>
    </row>
    <row r="1227" spans="1:1" ht="18.75" customHeight="1">
      <c r="A1227"/>
    </row>
    <row r="1228" spans="1:1" ht="18.75" customHeight="1">
      <c r="A1228"/>
    </row>
    <row r="1229" spans="1:1" ht="18.75" customHeight="1">
      <c r="A1229"/>
    </row>
    <row r="1230" spans="1:1" ht="18.75" customHeight="1">
      <c r="A1230"/>
    </row>
    <row r="1231" spans="1:1" ht="18.75" customHeight="1">
      <c r="A1231"/>
    </row>
    <row r="1232" spans="1:1" ht="18.75" customHeight="1">
      <c r="A1232"/>
    </row>
    <row r="1233" spans="1:1" ht="18.75" customHeight="1">
      <c r="A1233"/>
    </row>
    <row r="1234" spans="1:1" ht="18.75" customHeight="1">
      <c r="A1234"/>
    </row>
    <row r="1235" spans="1:1" ht="18.75" customHeight="1">
      <c r="A1235"/>
    </row>
    <row r="1236" spans="1:1" ht="18.75" customHeight="1">
      <c r="A1236"/>
    </row>
    <row r="1237" spans="1:1" ht="18.75" customHeight="1">
      <c r="A1237"/>
    </row>
    <row r="1238" spans="1:1" ht="18.75" customHeight="1">
      <c r="A1238"/>
    </row>
    <row r="1239" spans="1:1" ht="18.75" customHeight="1">
      <c r="A1239"/>
    </row>
    <row r="1240" spans="1:1" ht="18.75" customHeight="1">
      <c r="A1240"/>
    </row>
    <row r="1241" spans="1:1" ht="18.75" customHeight="1">
      <c r="A1241"/>
    </row>
    <row r="1242" spans="1:1" ht="18.75" customHeight="1">
      <c r="A1242"/>
    </row>
    <row r="1243" spans="1:1" ht="18.75" customHeight="1">
      <c r="A1243"/>
    </row>
    <row r="1244" spans="1:1" ht="18.75" customHeight="1">
      <c r="A1244"/>
    </row>
    <row r="1245" spans="1:1" ht="18.75" customHeight="1">
      <c r="A1245"/>
    </row>
    <row r="1246" spans="1:1" ht="18.75" customHeight="1">
      <c r="A1246"/>
    </row>
    <row r="1247" spans="1:1" ht="18.75" customHeight="1">
      <c r="A1247"/>
    </row>
    <row r="1248" spans="1:1" ht="18.75" customHeight="1">
      <c r="A1248"/>
    </row>
    <row r="1249" spans="1:1" ht="18.75" customHeight="1">
      <c r="A1249"/>
    </row>
    <row r="1250" spans="1:1" ht="18.75" customHeight="1">
      <c r="A1250"/>
    </row>
    <row r="1251" spans="1:1" ht="18.75" customHeight="1">
      <c r="A1251"/>
    </row>
    <row r="1252" spans="1:1" ht="18.75" customHeight="1">
      <c r="A1252"/>
    </row>
    <row r="1253" spans="1:1" ht="18.75" customHeight="1">
      <c r="A1253"/>
    </row>
    <row r="1254" spans="1:1" ht="18.75" customHeight="1">
      <c r="A1254"/>
    </row>
    <row r="1255" spans="1:1" ht="18.75" customHeight="1">
      <c r="A1255"/>
    </row>
    <row r="1256" spans="1:1" ht="18.75" customHeight="1">
      <c r="A1256"/>
    </row>
    <row r="1257" spans="1:1" ht="18.75" customHeight="1">
      <c r="A1257"/>
    </row>
    <row r="1258" spans="1:1" ht="18.75" customHeight="1">
      <c r="A1258"/>
    </row>
    <row r="1259" spans="1:1" ht="18.75" customHeight="1">
      <c r="A1259"/>
    </row>
    <row r="1260" spans="1:1" ht="18.75" customHeight="1">
      <c r="A1260"/>
    </row>
    <row r="1261" spans="1:1" ht="18.75" customHeight="1">
      <c r="A1261"/>
    </row>
    <row r="1262" spans="1:1" ht="18.75" customHeight="1">
      <c r="A1262"/>
    </row>
    <row r="1263" spans="1:1" ht="18.75" customHeight="1">
      <c r="A1263"/>
    </row>
    <row r="1264" spans="1:1" ht="18.75" customHeight="1">
      <c r="A1264"/>
    </row>
    <row r="1265" spans="1:1" ht="18.75" customHeight="1">
      <c r="A1265"/>
    </row>
    <row r="1266" spans="1:1" ht="18.75" customHeight="1">
      <c r="A1266"/>
    </row>
    <row r="1267" spans="1:1" ht="18.75" customHeight="1">
      <c r="A1267"/>
    </row>
    <row r="1268" spans="1:1" ht="18.75" customHeight="1">
      <c r="A1268"/>
    </row>
    <row r="1269" spans="1:1" ht="18.75" customHeight="1">
      <c r="A1269"/>
    </row>
    <row r="1270" spans="1:1" ht="18.75" customHeight="1">
      <c r="A1270"/>
    </row>
    <row r="1271" spans="1:1" ht="18.75" customHeight="1">
      <c r="A1271"/>
    </row>
    <row r="1272" spans="1:1" ht="18.75" customHeight="1">
      <c r="A1272"/>
    </row>
    <row r="1273" spans="1:1" ht="18.75" customHeight="1">
      <c r="A1273"/>
    </row>
    <row r="1274" spans="1:1" ht="18.75" customHeight="1">
      <c r="A1274"/>
    </row>
    <row r="1275" spans="1:1" ht="18.75" customHeight="1">
      <c r="A1275"/>
    </row>
    <row r="1276" spans="1:1" ht="18.75" customHeight="1">
      <c r="A1276"/>
    </row>
    <row r="1277" spans="1:1" ht="18.75" customHeight="1">
      <c r="A1277"/>
    </row>
    <row r="1278" spans="1:1" ht="18.75" customHeight="1">
      <c r="A1278"/>
    </row>
    <row r="1279" spans="1:1" ht="18.75" customHeight="1">
      <c r="A1279"/>
    </row>
    <row r="1280" spans="1:1" ht="18.75" customHeight="1">
      <c r="A1280"/>
    </row>
    <row r="1281" spans="1:1" ht="18.75" customHeight="1">
      <c r="A1281"/>
    </row>
    <row r="1282" spans="1:1" ht="18.75" customHeight="1">
      <c r="A1282"/>
    </row>
    <row r="1283" spans="1:1" ht="18.75" customHeight="1">
      <c r="A1283"/>
    </row>
    <row r="1284" spans="1:1" ht="18.75" customHeight="1">
      <c r="A1284"/>
    </row>
    <row r="1285" spans="1:1" ht="18.75" customHeight="1">
      <c r="A1285"/>
    </row>
    <row r="1286" spans="1:1" ht="18.75" customHeight="1">
      <c r="A1286"/>
    </row>
    <row r="1287" spans="1:1" ht="18.75" customHeight="1">
      <c r="A1287"/>
    </row>
    <row r="1288" spans="1:1" ht="18.75" customHeight="1">
      <c r="A1288"/>
    </row>
    <row r="1289" spans="1:1" ht="18.75" customHeight="1">
      <c r="A1289"/>
    </row>
    <row r="1290" spans="1:1" ht="18.75" customHeight="1">
      <c r="A1290"/>
    </row>
    <row r="1291" spans="1:1" ht="18.75" customHeight="1">
      <c r="A1291"/>
    </row>
    <row r="1292" spans="1:1" ht="18.75" customHeight="1">
      <c r="A1292"/>
    </row>
    <row r="1293" spans="1:1" ht="18.75" customHeight="1">
      <c r="A1293"/>
    </row>
    <row r="1294" spans="1:1" ht="18.75" customHeight="1">
      <c r="A1294"/>
    </row>
    <row r="1295" spans="1:1" ht="18.75" customHeight="1">
      <c r="A1295"/>
    </row>
    <row r="1296" spans="1:1" ht="18.75" customHeight="1">
      <c r="A1296"/>
    </row>
    <row r="1297" spans="1:1" ht="18.75" customHeight="1">
      <c r="A1297"/>
    </row>
    <row r="1298" spans="1:1" ht="18.75" customHeight="1">
      <c r="A1298"/>
    </row>
    <row r="1299" spans="1:1" ht="18.75" customHeight="1">
      <c r="A1299"/>
    </row>
    <row r="1300" spans="1:1" ht="18.75" customHeight="1">
      <c r="A1300"/>
    </row>
    <row r="1301" spans="1:1" ht="18.75" customHeight="1">
      <c r="A1301"/>
    </row>
    <row r="1302" spans="1:1" ht="18.75" customHeight="1">
      <c r="A1302"/>
    </row>
    <row r="1303" spans="1:1" ht="18.75" customHeight="1">
      <c r="A1303"/>
    </row>
    <row r="1304" spans="1:1" ht="18.75" customHeight="1">
      <c r="A1304"/>
    </row>
    <row r="1305" spans="1:1" ht="18.75" customHeight="1">
      <c r="A1305"/>
    </row>
    <row r="1306" spans="1:1" ht="18.75" customHeight="1">
      <c r="A1306"/>
    </row>
    <row r="1307" spans="1:1" ht="18.75" customHeight="1">
      <c r="A1307"/>
    </row>
    <row r="1308" spans="1:1" ht="18.75" customHeight="1">
      <c r="A1308"/>
    </row>
    <row r="1309" spans="1:1" ht="18.75" customHeight="1">
      <c r="A1309"/>
    </row>
    <row r="1310" spans="1:1" ht="18.75" customHeight="1">
      <c r="A1310"/>
    </row>
    <row r="1311" spans="1:1" ht="18.75" customHeight="1">
      <c r="A1311"/>
    </row>
    <row r="1312" spans="1:1" ht="18.75" customHeight="1">
      <c r="A1312"/>
    </row>
    <row r="1313" spans="1:1" ht="18.75" customHeight="1">
      <c r="A1313"/>
    </row>
    <row r="1314" spans="1:1" ht="18.75" customHeight="1">
      <c r="A1314"/>
    </row>
    <row r="1315" spans="1:1" ht="18.75" customHeight="1">
      <c r="A1315"/>
    </row>
    <row r="1316" spans="1:1" ht="18.75" customHeight="1">
      <c r="A1316"/>
    </row>
    <row r="1317" spans="1:1" ht="18.75" customHeight="1">
      <c r="A1317"/>
    </row>
    <row r="1318" spans="1:1" ht="18.75" customHeight="1">
      <c r="A1318"/>
    </row>
    <row r="1319" spans="1:1" ht="18.75" customHeight="1">
      <c r="A1319"/>
    </row>
    <row r="1320" spans="1:1" ht="18.75" customHeight="1">
      <c r="A1320"/>
    </row>
    <row r="1321" spans="1:1" ht="18.75" customHeight="1">
      <c r="A1321"/>
    </row>
    <row r="1322" spans="1:1" ht="18.75" customHeight="1">
      <c r="A1322"/>
    </row>
    <row r="1323" spans="1:1" ht="18.75" customHeight="1">
      <c r="A1323"/>
    </row>
    <row r="1324" spans="1:1" ht="18.75" customHeight="1">
      <c r="A1324"/>
    </row>
    <row r="1325" spans="1:1" ht="18.75" customHeight="1">
      <c r="A1325"/>
    </row>
    <row r="1326" spans="1:1" ht="18.75" customHeight="1">
      <c r="A1326"/>
    </row>
    <row r="1327" spans="1:1" ht="18.75" customHeight="1">
      <c r="A1327"/>
    </row>
    <row r="1328" spans="1:1" ht="18.75" customHeight="1">
      <c r="A1328"/>
    </row>
    <row r="1329" spans="1:1" ht="18.75" customHeight="1">
      <c r="A1329"/>
    </row>
    <row r="1330" spans="1:1" ht="18.75" customHeight="1">
      <c r="A1330"/>
    </row>
    <row r="1331" spans="1:1" ht="18.75" customHeight="1">
      <c r="A1331"/>
    </row>
    <row r="1332" spans="1:1" ht="18.75" customHeight="1">
      <c r="A1332"/>
    </row>
    <row r="1333" spans="1:1" ht="18.75" customHeight="1">
      <c r="A1333"/>
    </row>
    <row r="1334" spans="1:1" ht="18.75" customHeight="1">
      <c r="A1334"/>
    </row>
    <row r="1335" spans="1:1" ht="18.75" customHeight="1">
      <c r="A1335"/>
    </row>
    <row r="1336" spans="1:1" ht="18.75" customHeight="1">
      <c r="A1336"/>
    </row>
    <row r="1337" spans="1:1" ht="18.75" customHeight="1">
      <c r="A1337"/>
    </row>
    <row r="1338" spans="1:1" ht="18.75" customHeight="1">
      <c r="A1338"/>
    </row>
    <row r="1339" spans="1:1" ht="18.75" customHeight="1">
      <c r="A1339"/>
    </row>
    <row r="1340" spans="1:1" ht="18.75" customHeight="1">
      <c r="A1340"/>
    </row>
    <row r="1341" spans="1:1" ht="18.75" customHeight="1">
      <c r="A1341"/>
    </row>
    <row r="1342" spans="1:1" ht="18.75" customHeight="1">
      <c r="A1342"/>
    </row>
    <row r="1343" spans="1:1" ht="18.75" customHeight="1">
      <c r="A1343"/>
    </row>
    <row r="1344" spans="1:1" ht="18.75" customHeight="1">
      <c r="A1344"/>
    </row>
    <row r="1345" spans="1:1" ht="18.75" customHeight="1">
      <c r="A1345"/>
    </row>
    <row r="1346" spans="1:1" ht="18.75" customHeight="1">
      <c r="A1346"/>
    </row>
    <row r="1347" spans="1:1" ht="18.75" customHeight="1">
      <c r="A1347"/>
    </row>
    <row r="1348" spans="1:1" ht="18.75" customHeight="1">
      <c r="A1348"/>
    </row>
    <row r="1349" spans="1:1" ht="18.75" customHeight="1">
      <c r="A1349"/>
    </row>
    <row r="1350" spans="1:1" ht="18.75" customHeight="1">
      <c r="A1350"/>
    </row>
    <row r="1351" spans="1:1" ht="18.75" customHeight="1">
      <c r="A1351"/>
    </row>
    <row r="1352" spans="1:1" ht="18.75" customHeight="1">
      <c r="A1352"/>
    </row>
    <row r="1353" spans="1:1" ht="18.75" customHeight="1">
      <c r="A1353"/>
    </row>
    <row r="1354" spans="1:1" ht="18.75" customHeight="1">
      <c r="A1354"/>
    </row>
    <row r="1355" spans="1:1" ht="18.75" customHeight="1">
      <c r="A1355"/>
    </row>
    <row r="1356" spans="1:1" ht="18.75" customHeight="1">
      <c r="A1356"/>
    </row>
    <row r="1357" spans="1:1" ht="18.75" customHeight="1">
      <c r="A1357"/>
    </row>
    <row r="1358" spans="1:1" ht="18.75" customHeight="1">
      <c r="A1358"/>
    </row>
    <row r="1359" spans="1:1" ht="18.75" customHeight="1">
      <c r="A1359"/>
    </row>
    <row r="1360" spans="1:1" ht="18.75" customHeight="1">
      <c r="A1360"/>
    </row>
    <row r="1361" spans="1:1" ht="18.75" customHeight="1">
      <c r="A1361"/>
    </row>
    <row r="1362" spans="1:1" ht="18.75" customHeight="1">
      <c r="A1362"/>
    </row>
    <row r="1363" spans="1:1" ht="18.75" customHeight="1">
      <c r="A1363"/>
    </row>
    <row r="1364" spans="1:1" ht="18.75" customHeight="1">
      <c r="A1364"/>
    </row>
    <row r="1365" spans="1:1" ht="18.75" customHeight="1">
      <c r="A1365"/>
    </row>
    <row r="1366" spans="1:1" ht="18.75" customHeight="1">
      <c r="A1366"/>
    </row>
    <row r="1367" spans="1:1" ht="18.75" customHeight="1">
      <c r="A1367"/>
    </row>
    <row r="1368" spans="1:1" ht="18.75" customHeight="1">
      <c r="A1368"/>
    </row>
    <row r="1369" spans="1:1" ht="18.75" customHeight="1">
      <c r="A1369"/>
    </row>
    <row r="1370" spans="1:1" ht="18.75" customHeight="1">
      <c r="A1370"/>
    </row>
    <row r="1371" spans="1:1" ht="18.75" customHeight="1">
      <c r="A1371"/>
    </row>
    <row r="1372" spans="1:1" ht="18.75" customHeight="1">
      <c r="A1372"/>
    </row>
    <row r="1373" spans="1:1" ht="18.75" customHeight="1">
      <c r="A1373"/>
    </row>
    <row r="1374" spans="1:1" ht="18.75" customHeight="1">
      <c r="A1374"/>
    </row>
    <row r="1375" spans="1:1" ht="18.75" customHeight="1">
      <c r="A1375"/>
    </row>
    <row r="1376" spans="1:1" ht="18.75" customHeight="1">
      <c r="A1376"/>
    </row>
    <row r="1377" spans="1:1" ht="18.75" customHeight="1">
      <c r="A1377"/>
    </row>
    <row r="1378" spans="1:1" ht="18.75" customHeight="1">
      <c r="A1378"/>
    </row>
    <row r="1379" spans="1:1" ht="18.75" customHeight="1">
      <c r="A1379"/>
    </row>
    <row r="1380" spans="1:1" ht="18.75" customHeight="1">
      <c r="A1380"/>
    </row>
    <row r="1381" spans="1:1" ht="18.75" customHeight="1">
      <c r="A1381"/>
    </row>
    <row r="1382" spans="1:1" ht="18.75" customHeight="1">
      <c r="A1382"/>
    </row>
    <row r="1383" spans="1:1" ht="18.75" customHeight="1">
      <c r="A1383"/>
    </row>
    <row r="1384" spans="1:1" ht="18.75" customHeight="1">
      <c r="A1384"/>
    </row>
    <row r="1385" spans="1:1" ht="18.75" customHeight="1">
      <c r="A1385"/>
    </row>
    <row r="1386" spans="1:1" ht="18.75" customHeight="1">
      <c r="A1386"/>
    </row>
    <row r="1387" spans="1:1" ht="18.75" customHeight="1">
      <c r="A1387"/>
    </row>
    <row r="1388" spans="1:1" ht="18.75" customHeight="1">
      <c r="A1388"/>
    </row>
    <row r="1389" spans="1:1" ht="18.75" customHeight="1">
      <c r="A1389"/>
    </row>
    <row r="1390" spans="1:1" ht="18.75" customHeight="1">
      <c r="A1390"/>
    </row>
    <row r="1391" spans="1:1" ht="18.75" customHeight="1">
      <c r="A1391"/>
    </row>
    <row r="1392" spans="1:1" ht="18.75" customHeight="1">
      <c r="A1392"/>
    </row>
    <row r="1393" spans="1:1" ht="18.75" customHeight="1">
      <c r="A1393"/>
    </row>
    <row r="1394" spans="1:1" ht="18.75" customHeight="1">
      <c r="A1394"/>
    </row>
    <row r="1395" spans="1:1" ht="18.75" customHeight="1">
      <c r="A1395"/>
    </row>
    <row r="1396" spans="1:1" ht="18.75" customHeight="1">
      <c r="A1396"/>
    </row>
    <row r="1397" spans="1:1" ht="18.75" customHeight="1">
      <c r="A1397"/>
    </row>
    <row r="1398" spans="1:1" ht="18.75" customHeight="1">
      <c r="A1398"/>
    </row>
    <row r="1399" spans="1:1" ht="18.75" customHeight="1">
      <c r="A1399"/>
    </row>
    <row r="1400" spans="1:1" ht="18.75" customHeight="1">
      <c r="A1400"/>
    </row>
    <row r="1401" spans="1:1" ht="18.75" customHeight="1">
      <c r="A1401"/>
    </row>
    <row r="1402" spans="1:1" ht="18.75" customHeight="1">
      <c r="A1402"/>
    </row>
    <row r="1403" spans="1:1" ht="18.75" customHeight="1">
      <c r="A1403"/>
    </row>
    <row r="1404" spans="1:1" ht="18.75" customHeight="1">
      <c r="A1404"/>
    </row>
    <row r="1405" spans="1:1" ht="18.75" customHeight="1">
      <c r="A1405"/>
    </row>
    <row r="1406" spans="1:1" ht="18.75" customHeight="1">
      <c r="A1406"/>
    </row>
    <row r="1407" spans="1:1" ht="18.75" customHeight="1">
      <c r="A1407"/>
    </row>
    <row r="1408" spans="1:1" ht="18.75" customHeight="1">
      <c r="A1408"/>
    </row>
    <row r="1409" spans="1:1" ht="18.75" customHeight="1">
      <c r="A1409"/>
    </row>
    <row r="1410" spans="1:1" ht="18.75" customHeight="1">
      <c r="A1410"/>
    </row>
    <row r="1411" spans="1:1" ht="18.75" customHeight="1">
      <c r="A1411"/>
    </row>
    <row r="1412" spans="1:1" ht="18.75" customHeight="1">
      <c r="A1412"/>
    </row>
    <row r="1413" spans="1:1" ht="18.75" customHeight="1">
      <c r="A1413"/>
    </row>
    <row r="1414" spans="1:1" ht="18.75" customHeight="1">
      <c r="A1414"/>
    </row>
    <row r="1415" spans="1:1" ht="18.75" customHeight="1">
      <c r="A1415"/>
    </row>
    <row r="1416" spans="1:1" ht="18.75" customHeight="1">
      <c r="A1416"/>
    </row>
    <row r="1417" spans="1:1" ht="18.75" customHeight="1">
      <c r="A1417"/>
    </row>
    <row r="1418" spans="1:1" ht="18.75" customHeight="1">
      <c r="A1418"/>
    </row>
    <row r="1419" spans="1:1" ht="18.75" customHeight="1">
      <c r="A1419"/>
    </row>
    <row r="1420" spans="1:1" ht="18.75" customHeight="1">
      <c r="A1420"/>
    </row>
    <row r="1421" spans="1:1" ht="18.75" customHeight="1">
      <c r="A1421"/>
    </row>
    <row r="1422" spans="1:1" ht="18.75" customHeight="1">
      <c r="A1422"/>
    </row>
    <row r="1423" spans="1:1" ht="18.75" customHeight="1">
      <c r="A1423"/>
    </row>
    <row r="1424" spans="1:1" ht="18.75" customHeight="1">
      <c r="A1424"/>
    </row>
    <row r="1425" spans="1:1" ht="18.75" customHeight="1">
      <c r="A1425"/>
    </row>
    <row r="1426" spans="1:1" ht="18.75" customHeight="1">
      <c r="A1426"/>
    </row>
    <row r="1427" spans="1:1" ht="18.75" customHeight="1">
      <c r="A1427"/>
    </row>
    <row r="1428" spans="1:1" ht="18.75" customHeight="1">
      <c r="A1428"/>
    </row>
    <row r="1429" spans="1:1" ht="18.75" customHeight="1">
      <c r="A1429"/>
    </row>
    <row r="1430" spans="1:1" ht="18.75" customHeight="1">
      <c r="A1430"/>
    </row>
    <row r="1431" spans="1:1" ht="18.75" customHeight="1">
      <c r="A1431"/>
    </row>
    <row r="1432" spans="1:1" ht="18.75" customHeight="1">
      <c r="A1432"/>
    </row>
    <row r="1433" spans="1:1" ht="18.75" customHeight="1">
      <c r="A1433"/>
    </row>
    <row r="1434" spans="1:1" ht="18.75" customHeight="1">
      <c r="A1434"/>
    </row>
    <row r="1435" spans="1:1" ht="18.75" customHeight="1">
      <c r="A1435"/>
    </row>
    <row r="1436" spans="1:1" ht="18.75" customHeight="1">
      <c r="A1436"/>
    </row>
    <row r="1437" spans="1:1" ht="18.75" customHeight="1">
      <c r="A1437"/>
    </row>
    <row r="1438" spans="1:1" ht="18.75" customHeight="1">
      <c r="A1438"/>
    </row>
    <row r="1439" spans="1:1" ht="18.75" customHeight="1">
      <c r="A1439"/>
    </row>
    <row r="1440" spans="1:1" ht="18.75" customHeight="1">
      <c r="A1440"/>
    </row>
    <row r="1441" spans="1:1" ht="18.75" customHeight="1">
      <c r="A1441"/>
    </row>
    <row r="1442" spans="1:1" ht="18.75" customHeight="1">
      <c r="A1442"/>
    </row>
    <row r="1443" spans="1:1" ht="18.75" customHeight="1">
      <c r="A1443"/>
    </row>
    <row r="1444" spans="1:1" ht="18.75" customHeight="1">
      <c r="A1444"/>
    </row>
    <row r="1445" spans="1:1" ht="18.75" customHeight="1">
      <c r="A1445"/>
    </row>
    <row r="1446" spans="1:1" ht="18.75" customHeight="1">
      <c r="A1446"/>
    </row>
    <row r="1447" spans="1:1" ht="18.75" customHeight="1">
      <c r="A1447"/>
    </row>
    <row r="1448" spans="1:1" ht="18.75" customHeight="1">
      <c r="A1448"/>
    </row>
    <row r="1449" spans="1:1" ht="18.75" customHeight="1">
      <c r="A1449"/>
    </row>
    <row r="1450" spans="1:1" ht="18.75" customHeight="1">
      <c r="A1450"/>
    </row>
    <row r="1451" spans="1:1" ht="18.75" customHeight="1">
      <c r="A1451"/>
    </row>
    <row r="1452" spans="1:1" ht="18.75" customHeight="1">
      <c r="A1452"/>
    </row>
    <row r="1453" spans="1:1" ht="18.75" customHeight="1">
      <c r="A1453"/>
    </row>
    <row r="1454" spans="1:1" ht="18.75" customHeight="1">
      <c r="A1454"/>
    </row>
    <row r="1455" spans="1:1" ht="18.75" customHeight="1">
      <c r="A1455"/>
    </row>
    <row r="1456" spans="1:1" ht="18.75" customHeight="1">
      <c r="A1456"/>
    </row>
    <row r="1457" spans="1:1" ht="18.75" customHeight="1">
      <c r="A1457"/>
    </row>
    <row r="1458" spans="1:1" ht="18.75" customHeight="1">
      <c r="A1458"/>
    </row>
    <row r="1459" spans="1:1" ht="18.75" customHeight="1">
      <c r="A1459"/>
    </row>
    <row r="1460" spans="1:1" ht="18.75" customHeight="1">
      <c r="A1460"/>
    </row>
    <row r="1461" spans="1:1" ht="18.75" customHeight="1">
      <c r="A1461"/>
    </row>
    <row r="1462" spans="1:1" ht="18.75" customHeight="1">
      <c r="A1462"/>
    </row>
    <row r="1463" spans="1:1" ht="18.75" customHeight="1">
      <c r="A1463"/>
    </row>
    <row r="1464" spans="1:1" ht="18.75" customHeight="1">
      <c r="A1464"/>
    </row>
    <row r="1465" spans="1:1" ht="18.75" customHeight="1">
      <c r="A1465"/>
    </row>
    <row r="1466" spans="1:1" ht="18.75" customHeight="1">
      <c r="A1466"/>
    </row>
    <row r="1467" spans="1:1" ht="18.75" customHeight="1">
      <c r="A1467"/>
    </row>
    <row r="1468" spans="1:1" ht="18.75" customHeight="1">
      <c r="A1468"/>
    </row>
    <row r="1469" spans="1:1" ht="18.75" customHeight="1">
      <c r="A1469"/>
    </row>
    <row r="1470" spans="1:1" ht="18.75" customHeight="1">
      <c r="A1470"/>
    </row>
    <row r="1471" spans="1:1" ht="18.75" customHeight="1">
      <c r="A1471"/>
    </row>
    <row r="1472" spans="1:1" ht="18.75" customHeight="1">
      <c r="A1472"/>
    </row>
    <row r="1473" spans="1:1" ht="18.75" customHeight="1">
      <c r="A1473"/>
    </row>
    <row r="1474" spans="1:1" ht="18.75" customHeight="1">
      <c r="A1474"/>
    </row>
    <row r="1475" spans="1:1" ht="18.75" customHeight="1">
      <c r="A1475"/>
    </row>
    <row r="1476" spans="1:1" ht="18.75" customHeight="1">
      <c r="A1476"/>
    </row>
    <row r="1477" spans="1:1" ht="18.75" customHeight="1">
      <c r="A1477"/>
    </row>
    <row r="1478" spans="1:1" ht="18.75" customHeight="1">
      <c r="A1478"/>
    </row>
    <row r="1479" spans="1:1" ht="18.75" customHeight="1">
      <c r="A1479"/>
    </row>
    <row r="1480" spans="1:1" ht="18.75" customHeight="1">
      <c r="A1480"/>
    </row>
    <row r="1481" spans="1:1" ht="18.75" customHeight="1">
      <c r="A1481"/>
    </row>
    <row r="1482" spans="1:1" ht="18.75" customHeight="1">
      <c r="A1482"/>
    </row>
    <row r="1483" spans="1:1" ht="18.75" customHeight="1">
      <c r="A1483"/>
    </row>
    <row r="1484" spans="1:1" ht="18.75" customHeight="1">
      <c r="A1484"/>
    </row>
    <row r="1485" spans="1:1" ht="18.75" customHeight="1">
      <c r="A1485"/>
    </row>
    <row r="1486" spans="1:1" ht="18.75" customHeight="1">
      <c r="A1486"/>
    </row>
    <row r="1487" spans="1:1" ht="18.75" customHeight="1">
      <c r="A1487"/>
    </row>
    <row r="1488" spans="1:1" ht="18.75" customHeight="1">
      <c r="A1488"/>
    </row>
    <row r="1489" spans="1:1" ht="18.75" customHeight="1">
      <c r="A1489"/>
    </row>
    <row r="1490" spans="1:1" ht="18.75" customHeight="1">
      <c r="A1490"/>
    </row>
    <row r="1491" spans="1:1" ht="18.75" customHeight="1">
      <c r="A1491"/>
    </row>
    <row r="1492" spans="1:1" ht="18.75" customHeight="1">
      <c r="A1492"/>
    </row>
    <row r="1493" spans="1:1" ht="18.75" customHeight="1">
      <c r="A1493"/>
    </row>
    <row r="1494" spans="1:1" ht="18.75" customHeight="1">
      <c r="A1494"/>
    </row>
    <row r="1495" spans="1:1" ht="18.75" customHeight="1">
      <c r="A1495"/>
    </row>
    <row r="1496" spans="1:1" ht="18.75" customHeight="1">
      <c r="A1496"/>
    </row>
    <row r="1497" spans="1:1" ht="18.75" customHeight="1">
      <c r="A1497"/>
    </row>
    <row r="1498" spans="1:1" ht="18.75" customHeight="1">
      <c r="A1498"/>
    </row>
    <row r="1499" spans="1:1" ht="18.75" customHeight="1">
      <c r="A1499"/>
    </row>
    <row r="1500" spans="1:1" ht="18.75" customHeight="1">
      <c r="A1500"/>
    </row>
    <row r="1501" spans="1:1" ht="18.75" customHeight="1">
      <c r="A1501"/>
    </row>
    <row r="1502" spans="1:1" ht="18.75" customHeight="1">
      <c r="A1502"/>
    </row>
    <row r="1503" spans="1:1" ht="18.75" customHeight="1">
      <c r="A1503"/>
    </row>
    <row r="1504" spans="1:1" ht="18.75" customHeight="1">
      <c r="A1504"/>
    </row>
    <row r="1505" spans="1:1" ht="18.75" customHeight="1">
      <c r="A1505"/>
    </row>
    <row r="1506" spans="1:1" ht="18.75" customHeight="1">
      <c r="A1506"/>
    </row>
    <row r="1507" spans="1:1" ht="18.75" customHeight="1">
      <c r="A1507"/>
    </row>
    <row r="1508" spans="1:1" ht="18.75" customHeight="1">
      <c r="A1508"/>
    </row>
    <row r="1509" spans="1:1" ht="18.75" customHeight="1">
      <c r="A1509"/>
    </row>
    <row r="1510" spans="1:1" ht="18.75" customHeight="1">
      <c r="A1510"/>
    </row>
    <row r="1511" spans="1:1" ht="18.75" customHeight="1">
      <c r="A1511"/>
    </row>
    <row r="1512" spans="1:1" ht="18.75" customHeight="1">
      <c r="A1512"/>
    </row>
    <row r="1513" spans="1:1" ht="18.75" customHeight="1">
      <c r="A1513"/>
    </row>
    <row r="1514" spans="1:1" ht="18.75" customHeight="1">
      <c r="A1514"/>
    </row>
    <row r="1515" spans="1:1" ht="18.75" customHeight="1">
      <c r="A1515"/>
    </row>
    <row r="1516" spans="1:1" ht="18.75" customHeight="1">
      <c r="A1516"/>
    </row>
    <row r="1517" spans="1:1" ht="18.75" customHeight="1">
      <c r="A1517"/>
    </row>
    <row r="1518" spans="1:1" ht="18.75" customHeight="1">
      <c r="A1518"/>
    </row>
    <row r="1519" spans="1:1" ht="18.75" customHeight="1">
      <c r="A1519"/>
    </row>
    <row r="1520" spans="1:1" ht="18.75" customHeight="1">
      <c r="A1520"/>
    </row>
    <row r="1521" spans="1:1" ht="18.75" customHeight="1">
      <c r="A1521"/>
    </row>
    <row r="1522" spans="1:1" ht="18.75" customHeight="1">
      <c r="A1522"/>
    </row>
    <row r="1523" spans="1:1" ht="18.75" customHeight="1">
      <c r="A1523"/>
    </row>
    <row r="1524" spans="1:1" ht="18.75" customHeight="1">
      <c r="A1524"/>
    </row>
    <row r="1525" spans="1:1" ht="18.75" customHeight="1">
      <c r="A1525"/>
    </row>
    <row r="1526" spans="1:1" ht="18.75" customHeight="1">
      <c r="A1526"/>
    </row>
    <row r="1527" spans="1:1" ht="18.75" customHeight="1">
      <c r="A1527"/>
    </row>
    <row r="1528" spans="1:1" ht="18.75" customHeight="1">
      <c r="A1528"/>
    </row>
    <row r="1529" spans="1:1" ht="18.75" customHeight="1">
      <c r="A1529"/>
    </row>
    <row r="1530" spans="1:1" ht="18.75" customHeight="1">
      <c r="A1530"/>
    </row>
    <row r="1531" spans="1:1" ht="18.75" customHeight="1">
      <c r="A1531"/>
    </row>
    <row r="1532" spans="1:1" ht="18.75" customHeight="1">
      <c r="A1532"/>
    </row>
    <row r="1533" spans="1:1" ht="18.75" customHeight="1">
      <c r="A1533"/>
    </row>
    <row r="1534" spans="1:1" ht="18.75" customHeight="1">
      <c r="A1534"/>
    </row>
    <row r="1535" spans="1:1" ht="18.75" customHeight="1">
      <c r="A1535"/>
    </row>
    <row r="1536" spans="1:1" ht="18.75" customHeight="1">
      <c r="A1536"/>
    </row>
    <row r="1537" spans="1:1" ht="18.75" customHeight="1">
      <c r="A1537"/>
    </row>
    <row r="1538" spans="1:1" ht="18.75" customHeight="1">
      <c r="A1538"/>
    </row>
    <row r="1539" spans="1:1" ht="18.75" customHeight="1">
      <c r="A1539"/>
    </row>
    <row r="1540" spans="1:1" ht="18.75" customHeight="1">
      <c r="A1540"/>
    </row>
    <row r="1541" spans="1:1" ht="18.75" customHeight="1">
      <c r="A1541"/>
    </row>
    <row r="1542" spans="1:1" ht="18.75" customHeight="1">
      <c r="A1542"/>
    </row>
    <row r="1543" spans="1:1" ht="18.75" customHeight="1">
      <c r="A1543"/>
    </row>
    <row r="1544" spans="1:1" ht="18.75" customHeight="1">
      <c r="A1544"/>
    </row>
    <row r="1545" spans="1:1" ht="18.75" customHeight="1">
      <c r="A1545"/>
    </row>
    <row r="1546" spans="1:1" ht="18.75" customHeight="1">
      <c r="A1546"/>
    </row>
    <row r="1547" spans="1:1" ht="18.75" customHeight="1">
      <c r="A1547"/>
    </row>
    <row r="1548" spans="1:1" ht="18.75" customHeight="1">
      <c r="A1548"/>
    </row>
    <row r="1549" spans="1:1" ht="18.75" customHeight="1">
      <c r="A1549"/>
    </row>
    <row r="1550" spans="1:1" ht="18.75" customHeight="1">
      <c r="A1550"/>
    </row>
    <row r="1551" spans="1:1" ht="18.75" customHeight="1">
      <c r="A1551"/>
    </row>
    <row r="1552" spans="1:1" ht="18.75" customHeight="1">
      <c r="A1552"/>
    </row>
    <row r="1553" spans="1:1" ht="18.75" customHeight="1">
      <c r="A1553"/>
    </row>
    <row r="1554" spans="1:1" ht="18.75" customHeight="1">
      <c r="A1554"/>
    </row>
    <row r="1555" spans="1:1" ht="18.75" customHeight="1">
      <c r="A1555"/>
    </row>
    <row r="1556" spans="1:1" ht="18.75" customHeight="1">
      <c r="A1556"/>
    </row>
    <row r="1557" spans="1:1" ht="18.75" customHeight="1">
      <c r="A1557"/>
    </row>
    <row r="1558" spans="1:1" ht="18.75" customHeight="1">
      <c r="A1558"/>
    </row>
    <row r="1559" spans="1:1" ht="18.75" customHeight="1">
      <c r="A1559"/>
    </row>
    <row r="1560" spans="1:1" ht="18.75" customHeight="1">
      <c r="A1560"/>
    </row>
    <row r="1561" spans="1:1" ht="18.75" customHeight="1">
      <c r="A1561"/>
    </row>
    <row r="1562" spans="1:1" ht="18.75" customHeight="1">
      <c r="A1562"/>
    </row>
    <row r="1563" spans="1:1" ht="18.75" customHeight="1">
      <c r="A1563"/>
    </row>
    <row r="1564" spans="1:1" ht="18.75" customHeight="1">
      <c r="A1564"/>
    </row>
    <row r="1565" spans="1:1" ht="18.75" customHeight="1">
      <c r="A1565"/>
    </row>
    <row r="1566" spans="1:1" ht="18.75" customHeight="1">
      <c r="A1566"/>
    </row>
    <row r="1567" spans="1:1" ht="18.75" customHeight="1">
      <c r="A1567"/>
    </row>
    <row r="1568" spans="1:1" ht="18.75" customHeight="1">
      <c r="A1568"/>
    </row>
    <row r="1569" spans="1:1" ht="18.75" customHeight="1">
      <c r="A1569"/>
    </row>
    <row r="1570" spans="1:1" ht="18.75" customHeight="1">
      <c r="A1570"/>
    </row>
    <row r="1571" spans="1:1" ht="18.75" customHeight="1">
      <c r="A1571"/>
    </row>
    <row r="1572" spans="1:1" ht="18.75" customHeight="1">
      <c r="A1572"/>
    </row>
    <row r="1573" spans="1:1" ht="18.75" customHeight="1">
      <c r="A1573"/>
    </row>
    <row r="1574" spans="1:1" ht="18.75" customHeight="1">
      <c r="A1574"/>
    </row>
    <row r="1575" spans="1:1" ht="18.75" customHeight="1">
      <c r="A1575"/>
    </row>
    <row r="1576" spans="1:1" ht="18.75" customHeight="1">
      <c r="A1576"/>
    </row>
    <row r="1577" spans="1:1" ht="18.75" customHeight="1">
      <c r="A1577"/>
    </row>
    <row r="1578" spans="1:1" ht="18.75" customHeight="1">
      <c r="A1578"/>
    </row>
    <row r="1579" spans="1:1" ht="18.75" customHeight="1">
      <c r="A1579"/>
    </row>
    <row r="1580" spans="1:1" ht="18.75" customHeight="1">
      <c r="A1580"/>
    </row>
    <row r="1581" spans="1:1" ht="18.75" customHeight="1">
      <c r="A1581"/>
    </row>
    <row r="1582" spans="1:1" ht="18.75" customHeight="1">
      <c r="A1582"/>
    </row>
    <row r="1583" spans="1:1" ht="18.75" customHeight="1">
      <c r="A1583"/>
    </row>
    <row r="1584" spans="1:1" ht="18.75" customHeight="1">
      <c r="A1584"/>
    </row>
    <row r="1585" spans="1:1" ht="18.75" customHeight="1">
      <c r="A1585"/>
    </row>
    <row r="1586" spans="1:1" ht="18.75" customHeight="1">
      <c r="A1586"/>
    </row>
    <row r="1587" spans="1:1" ht="18.75" customHeight="1">
      <c r="A1587"/>
    </row>
    <row r="1588" spans="1:1" ht="18.75" customHeight="1">
      <c r="A1588"/>
    </row>
    <row r="1589" spans="1:1" ht="18.75" customHeight="1">
      <c r="A1589"/>
    </row>
    <row r="1590" spans="1:1" ht="18.75" customHeight="1">
      <c r="A1590"/>
    </row>
    <row r="1591" spans="1:1" ht="18.75" customHeight="1">
      <c r="A1591"/>
    </row>
    <row r="1592" spans="1:1" ht="18.75" customHeight="1">
      <c r="A1592"/>
    </row>
    <row r="1593" spans="1:1" ht="18.75" customHeight="1">
      <c r="A1593"/>
    </row>
    <row r="1594" spans="1:1" ht="18.75" customHeight="1">
      <c r="A1594"/>
    </row>
    <row r="1595" spans="1:1" ht="18.75" customHeight="1">
      <c r="A1595"/>
    </row>
    <row r="1596" spans="1:1" ht="18.75" customHeight="1">
      <c r="A1596"/>
    </row>
    <row r="1597" spans="1:1" ht="18.75" customHeight="1">
      <c r="A1597"/>
    </row>
    <row r="1598" spans="1:1" ht="18.75" customHeight="1">
      <c r="A1598"/>
    </row>
    <row r="1599" spans="1:1" ht="18.75" customHeight="1">
      <c r="A1599"/>
    </row>
    <row r="1600" spans="1:1" ht="18.75" customHeight="1">
      <c r="A1600"/>
    </row>
    <row r="1601" spans="1:1" ht="18.75" customHeight="1">
      <c r="A1601"/>
    </row>
    <row r="1602" spans="1:1" ht="18.75" customHeight="1">
      <c r="A1602"/>
    </row>
    <row r="1603" spans="1:1" ht="18.75" customHeight="1">
      <c r="A1603"/>
    </row>
    <row r="1604" spans="1:1" ht="18.75" customHeight="1">
      <c r="A1604"/>
    </row>
    <row r="1605" spans="1:1" ht="18.75" customHeight="1">
      <c r="A1605"/>
    </row>
    <row r="1606" spans="1:1" ht="18.75" customHeight="1">
      <c r="A1606"/>
    </row>
    <row r="1607" spans="1:1" ht="18.75" customHeight="1">
      <c r="A1607"/>
    </row>
    <row r="1608" spans="1:1" ht="18.75" customHeight="1">
      <c r="A1608"/>
    </row>
    <row r="1609" spans="1:1" ht="18.75" customHeight="1">
      <c r="A1609"/>
    </row>
    <row r="1610" spans="1:1" ht="18.75" customHeight="1">
      <c r="A1610"/>
    </row>
    <row r="1611" spans="1:1" ht="18.75" customHeight="1">
      <c r="A1611"/>
    </row>
    <row r="1612" spans="1:1" ht="18.75" customHeight="1">
      <c r="A1612"/>
    </row>
    <row r="1613" spans="1:1" ht="18.75" customHeight="1">
      <c r="A1613"/>
    </row>
    <row r="1614" spans="1:1" ht="18.75" customHeight="1">
      <c r="A1614"/>
    </row>
    <row r="1615" spans="1:1" ht="18.75" customHeight="1">
      <c r="A1615"/>
    </row>
    <row r="1616" spans="1:1" ht="18.75" customHeight="1">
      <c r="A1616"/>
    </row>
    <row r="1617" spans="1:1" ht="18.75" customHeight="1">
      <c r="A1617"/>
    </row>
    <row r="1618" spans="1:1" ht="18.75" customHeight="1">
      <c r="A1618"/>
    </row>
    <row r="1619" spans="1:1" ht="18.75" customHeight="1">
      <c r="A1619"/>
    </row>
    <row r="1620" spans="1:1" ht="18.75" customHeight="1">
      <c r="A1620"/>
    </row>
    <row r="1621" spans="1:1" ht="18.75" customHeight="1">
      <c r="A1621"/>
    </row>
    <row r="1622" spans="1:1" ht="18.75" customHeight="1">
      <c r="A1622"/>
    </row>
    <row r="1623" spans="1:1" ht="18.75" customHeight="1">
      <c r="A1623"/>
    </row>
    <row r="1624" spans="1:1" ht="18.75" customHeight="1">
      <c r="A1624"/>
    </row>
    <row r="1625" spans="1:1" ht="18.75" customHeight="1">
      <c r="A1625"/>
    </row>
    <row r="1626" spans="1:1" ht="18.75" customHeight="1">
      <c r="A1626"/>
    </row>
    <row r="1627" spans="1:1" ht="18.75" customHeight="1">
      <c r="A1627"/>
    </row>
    <row r="1628" spans="1:1" ht="18.75" customHeight="1">
      <c r="A1628"/>
    </row>
    <row r="1629" spans="1:1" ht="18.75" customHeight="1">
      <c r="A1629"/>
    </row>
    <row r="1630" spans="1:1" ht="18.75" customHeight="1">
      <c r="A1630"/>
    </row>
    <row r="1631" spans="1:1" ht="18.75" customHeight="1">
      <c r="A1631"/>
    </row>
    <row r="1632" spans="1:1" ht="18.75" customHeight="1">
      <c r="A1632"/>
    </row>
    <row r="1633" spans="1:1" ht="18.75" customHeight="1">
      <c r="A1633"/>
    </row>
    <row r="1634" spans="1:1" ht="18.75" customHeight="1">
      <c r="A1634"/>
    </row>
    <row r="1635" spans="1:1" ht="18.75" customHeight="1">
      <c r="A1635"/>
    </row>
    <row r="1636" spans="1:1" ht="18.75" customHeight="1">
      <c r="A1636"/>
    </row>
    <row r="1637" spans="1:1" ht="18.75" customHeight="1">
      <c r="A1637"/>
    </row>
    <row r="1638" spans="1:1" ht="18.75" customHeight="1">
      <c r="A1638"/>
    </row>
    <row r="1639" spans="1:1" ht="18.75" customHeight="1">
      <c r="A1639"/>
    </row>
    <row r="1640" spans="1:1" ht="18.75" customHeight="1">
      <c r="A1640"/>
    </row>
    <row r="1641" spans="1:1" ht="18.75" customHeight="1">
      <c r="A1641"/>
    </row>
    <row r="1642" spans="1:1" ht="18.75" customHeight="1">
      <c r="A1642"/>
    </row>
    <row r="1643" spans="1:1" ht="18.75" customHeight="1">
      <c r="A1643"/>
    </row>
    <row r="1644" spans="1:1" ht="18.75" customHeight="1">
      <c r="A1644"/>
    </row>
    <row r="1645" spans="1:1" ht="18.75" customHeight="1">
      <c r="A1645"/>
    </row>
    <row r="1646" spans="1:1" ht="18.75" customHeight="1">
      <c r="A1646"/>
    </row>
    <row r="1647" spans="1:1" ht="18.75" customHeight="1">
      <c r="A1647"/>
    </row>
    <row r="1648" spans="1:1" ht="18.75" customHeight="1">
      <c r="A1648"/>
    </row>
    <row r="1649" spans="1:1" ht="18.75" customHeight="1">
      <c r="A1649"/>
    </row>
    <row r="1650" spans="1:1" ht="18.75" customHeight="1">
      <c r="A1650"/>
    </row>
    <row r="1651" spans="1:1" ht="18.75" customHeight="1">
      <c r="A1651"/>
    </row>
    <row r="1652" spans="1:1" ht="18.75" customHeight="1">
      <c r="A1652"/>
    </row>
    <row r="1653" spans="1:1" ht="18.75" customHeight="1">
      <c r="A1653"/>
    </row>
    <row r="1654" spans="1:1" ht="18.75" customHeight="1">
      <c r="A1654"/>
    </row>
    <row r="1655" spans="1:1" ht="18.75" customHeight="1">
      <c r="A1655"/>
    </row>
    <row r="1656" spans="1:1" ht="18.75" customHeight="1">
      <c r="A1656"/>
    </row>
    <row r="1657" spans="1:1" ht="18.75" customHeight="1">
      <c r="A1657"/>
    </row>
    <row r="1658" spans="1:1" ht="18.75" customHeight="1">
      <c r="A1658"/>
    </row>
    <row r="1659" spans="1:1" ht="18.75" customHeight="1">
      <c r="A1659"/>
    </row>
    <row r="1660" spans="1:1" ht="18.75" customHeight="1">
      <c r="A1660"/>
    </row>
    <row r="1661" spans="1:1" ht="18.75" customHeight="1">
      <c r="A1661"/>
    </row>
    <row r="1662" spans="1:1" ht="18.75" customHeight="1">
      <c r="A1662"/>
    </row>
    <row r="1663" spans="1:1" ht="18.75" customHeight="1">
      <c r="A1663"/>
    </row>
    <row r="1664" spans="1:1" ht="18.75" customHeight="1">
      <c r="A1664"/>
    </row>
    <row r="1665" spans="1:1" ht="18.75" customHeight="1">
      <c r="A1665"/>
    </row>
    <row r="1666" spans="1:1" ht="18.75" customHeight="1">
      <c r="A1666"/>
    </row>
    <row r="1667" spans="1:1" ht="18.75" customHeight="1">
      <c r="A1667"/>
    </row>
    <row r="1668" spans="1:1" ht="18.75" customHeight="1">
      <c r="A1668"/>
    </row>
    <row r="1669" spans="1:1" ht="18.75" customHeight="1">
      <c r="A1669"/>
    </row>
    <row r="1670" spans="1:1" ht="18.75" customHeight="1">
      <c r="A1670"/>
    </row>
    <row r="1671" spans="1:1" ht="18.75" customHeight="1">
      <c r="A1671"/>
    </row>
    <row r="1672" spans="1:1" ht="18.75" customHeight="1">
      <c r="A1672"/>
    </row>
    <row r="1673" spans="1:1" ht="18.75" customHeight="1">
      <c r="A1673"/>
    </row>
    <row r="1674" spans="1:1" ht="18.75" customHeight="1">
      <c r="A1674"/>
    </row>
    <row r="1675" spans="1:1" ht="18.75" customHeight="1">
      <c r="A1675"/>
    </row>
    <row r="1676" spans="1:1" ht="18.75" customHeight="1">
      <c r="A1676"/>
    </row>
    <row r="1677" spans="1:1" ht="18.75" customHeight="1">
      <c r="A1677"/>
    </row>
    <row r="1678" spans="1:1" ht="18.75" customHeight="1">
      <c r="A1678"/>
    </row>
    <row r="1679" spans="1:1" ht="18.75" customHeight="1">
      <c r="A1679"/>
    </row>
    <row r="1680" spans="1:1" ht="18.75" customHeight="1">
      <c r="A1680"/>
    </row>
    <row r="1681" spans="1:1" ht="18.75" customHeight="1">
      <c r="A1681"/>
    </row>
    <row r="1682" spans="1:1" ht="18.75" customHeight="1">
      <c r="A1682"/>
    </row>
    <row r="1683" spans="1:1" ht="18.75" customHeight="1">
      <c r="A1683"/>
    </row>
    <row r="1684" spans="1:1" ht="18.75" customHeight="1">
      <c r="A1684"/>
    </row>
    <row r="1685" spans="1:1" ht="18.75" customHeight="1">
      <c r="A1685"/>
    </row>
    <row r="1686" spans="1:1" ht="18.75" customHeight="1">
      <c r="A1686"/>
    </row>
    <row r="1687" spans="1:1" ht="18.75" customHeight="1">
      <c r="A1687"/>
    </row>
    <row r="1688" spans="1:1" ht="18.75" customHeight="1">
      <c r="A1688"/>
    </row>
    <row r="1689" spans="1:1" ht="18.75" customHeight="1">
      <c r="A1689"/>
    </row>
    <row r="1690" spans="1:1" ht="18.75" customHeight="1">
      <c r="A1690"/>
    </row>
    <row r="1691" spans="1:1" ht="18.75" customHeight="1">
      <c r="A1691"/>
    </row>
    <row r="1692" spans="1:1" ht="18.75" customHeight="1">
      <c r="A1692"/>
    </row>
    <row r="1693" spans="1:1" ht="18.75" customHeight="1">
      <c r="A1693"/>
    </row>
    <row r="1694" spans="1:1" ht="18.75" customHeight="1">
      <c r="A1694"/>
    </row>
    <row r="1695" spans="1:1" ht="18.75" customHeight="1">
      <c r="A1695"/>
    </row>
    <row r="1696" spans="1:1" ht="18.75" customHeight="1">
      <c r="A1696"/>
    </row>
    <row r="1697" spans="1:1" ht="18.75" customHeight="1">
      <c r="A1697"/>
    </row>
    <row r="1698" spans="1:1" ht="18.75" customHeight="1">
      <c r="A1698"/>
    </row>
    <row r="1699" spans="1:1" ht="18.75" customHeight="1">
      <c r="A1699"/>
    </row>
    <row r="1700" spans="1:1" ht="18.75" customHeight="1">
      <c r="A1700"/>
    </row>
    <row r="1701" spans="1:1" ht="18.75" customHeight="1">
      <c r="A1701"/>
    </row>
    <row r="1702" spans="1:1" ht="18.75" customHeight="1">
      <c r="A1702"/>
    </row>
    <row r="1703" spans="1:1" ht="18.75" customHeight="1">
      <c r="A1703"/>
    </row>
    <row r="1704" spans="1:1" ht="18.75" customHeight="1">
      <c r="A1704"/>
    </row>
    <row r="1705" spans="1:1" ht="18.75" customHeight="1">
      <c r="A1705"/>
    </row>
    <row r="1706" spans="1:1" ht="18.75" customHeight="1">
      <c r="A1706"/>
    </row>
    <row r="1707" spans="1:1" ht="18.75" customHeight="1">
      <c r="A1707"/>
    </row>
    <row r="1708" spans="1:1" ht="18.75" customHeight="1">
      <c r="A1708"/>
    </row>
    <row r="1709" spans="1:1" ht="18.75" customHeight="1">
      <c r="A1709"/>
    </row>
    <row r="1710" spans="1:1" ht="18.75" customHeight="1">
      <c r="A1710"/>
    </row>
    <row r="1711" spans="1:1" ht="18.75" customHeight="1">
      <c r="A1711"/>
    </row>
    <row r="1712" spans="1:1" ht="18.75" customHeight="1">
      <c r="A1712"/>
    </row>
    <row r="1713" spans="1:1" ht="18.75" customHeight="1">
      <c r="A1713"/>
    </row>
    <row r="1714" spans="1:1" ht="18.75" customHeight="1">
      <c r="A1714"/>
    </row>
    <row r="1715" spans="1:1" ht="18.75" customHeight="1">
      <c r="A1715"/>
    </row>
    <row r="1716" spans="1:1" ht="18.75" customHeight="1">
      <c r="A1716"/>
    </row>
    <row r="1717" spans="1:1" ht="18.75" customHeight="1">
      <c r="A1717"/>
    </row>
    <row r="1718" spans="1:1" ht="18.75" customHeight="1">
      <c r="A1718"/>
    </row>
    <row r="1719" spans="1:1" ht="18.75" customHeight="1">
      <c r="A1719"/>
    </row>
    <row r="1720" spans="1:1" ht="18.75" customHeight="1">
      <c r="A1720"/>
    </row>
    <row r="1721" spans="1:1" ht="18.75" customHeight="1">
      <c r="A1721"/>
    </row>
    <row r="1722" spans="1:1" ht="18.75" customHeight="1">
      <c r="A1722"/>
    </row>
    <row r="1723" spans="1:1" ht="18.75" customHeight="1">
      <c r="A1723"/>
    </row>
    <row r="1724" spans="1:1" ht="18.75" customHeight="1">
      <c r="A1724"/>
    </row>
    <row r="1725" spans="1:1" ht="18.75" customHeight="1">
      <c r="A1725"/>
    </row>
    <row r="1726" spans="1:1" ht="18.75" customHeight="1">
      <c r="A1726"/>
    </row>
    <row r="1727" spans="1:1" ht="18.75" customHeight="1">
      <c r="A1727"/>
    </row>
    <row r="1728" spans="1:1" ht="18.75" customHeight="1">
      <c r="A1728"/>
    </row>
    <row r="1729" spans="1:1" ht="18.75" customHeight="1">
      <c r="A1729"/>
    </row>
    <row r="1730" spans="1:1" ht="18.75" customHeight="1">
      <c r="A1730"/>
    </row>
    <row r="1731" spans="1:1" ht="18.75" customHeight="1">
      <c r="A1731"/>
    </row>
    <row r="1732" spans="1:1" ht="18.75" customHeight="1">
      <c r="A1732"/>
    </row>
    <row r="1733" spans="1:1" ht="18.75" customHeight="1">
      <c r="A1733"/>
    </row>
    <row r="1734" spans="1:1" ht="18.75" customHeight="1">
      <c r="A1734"/>
    </row>
    <row r="1735" spans="1:1" ht="18.75" customHeight="1">
      <c r="A1735"/>
    </row>
    <row r="1736" spans="1:1" ht="18.75" customHeight="1">
      <c r="A1736"/>
    </row>
    <row r="1737" spans="1:1" ht="18.75" customHeight="1">
      <c r="A1737"/>
    </row>
    <row r="1738" spans="1:1" ht="18.75" customHeight="1">
      <c r="A1738"/>
    </row>
    <row r="1739" spans="1:1" ht="18.75" customHeight="1">
      <c r="A1739"/>
    </row>
    <row r="1740" spans="1:1" ht="18.75" customHeight="1">
      <c r="A1740"/>
    </row>
    <row r="1741" spans="1:1" ht="18.75" customHeight="1">
      <c r="A1741"/>
    </row>
    <row r="1742" spans="1:1" ht="18.75" customHeight="1">
      <c r="A1742"/>
    </row>
    <row r="1743" spans="1:1" ht="18.75" customHeight="1">
      <c r="A1743"/>
    </row>
    <row r="1744" spans="1:1" ht="18.75" customHeight="1">
      <c r="A1744"/>
    </row>
    <row r="1745" spans="1:1" ht="18.75" customHeight="1">
      <c r="A1745"/>
    </row>
    <row r="1746" spans="1:1" ht="18.75" customHeight="1">
      <c r="A1746"/>
    </row>
    <row r="1747" spans="1:1" ht="18.75" customHeight="1">
      <c r="A1747"/>
    </row>
    <row r="1748" spans="1:1" ht="18.75" customHeight="1">
      <c r="A1748"/>
    </row>
    <row r="1749" spans="1:1" ht="18.75" customHeight="1">
      <c r="A1749"/>
    </row>
    <row r="1750" spans="1:1" ht="18.75" customHeight="1">
      <c r="A1750"/>
    </row>
    <row r="1751" spans="1:1" ht="18.75" customHeight="1">
      <c r="A1751"/>
    </row>
    <row r="1752" spans="1:1" ht="18.75" customHeight="1">
      <c r="A1752"/>
    </row>
    <row r="1753" spans="1:1" ht="18.75" customHeight="1">
      <c r="A1753"/>
    </row>
    <row r="1754" spans="1:1" ht="18.75" customHeight="1">
      <c r="A1754"/>
    </row>
    <row r="1755" spans="1:1" ht="18.75" customHeight="1">
      <c r="A1755"/>
    </row>
    <row r="1756" spans="1:1" ht="18.75" customHeight="1">
      <c r="A1756"/>
    </row>
    <row r="1757" spans="1:1" ht="18.75" customHeight="1">
      <c r="A1757"/>
    </row>
    <row r="1758" spans="1:1" ht="18.75" customHeight="1">
      <c r="A1758"/>
    </row>
    <row r="1759" spans="1:1" ht="18.75" customHeight="1">
      <c r="A1759"/>
    </row>
    <row r="1760" spans="1:1" ht="18.75" customHeight="1">
      <c r="A1760"/>
    </row>
    <row r="1761" spans="1:1" ht="18.75" customHeight="1">
      <c r="A1761"/>
    </row>
    <row r="1762" spans="1:1" ht="18.75" customHeight="1">
      <c r="A1762"/>
    </row>
    <row r="1763" spans="1:1" ht="18.75" customHeight="1">
      <c r="A1763"/>
    </row>
    <row r="1764" spans="1:1" ht="18.75" customHeight="1">
      <c r="A1764"/>
    </row>
    <row r="1765" spans="1:1" ht="18.75" customHeight="1">
      <c r="A1765"/>
    </row>
    <row r="1766" spans="1:1" ht="18.75" customHeight="1">
      <c r="A1766"/>
    </row>
    <row r="1767" spans="1:1" ht="18.75" customHeight="1">
      <c r="A1767"/>
    </row>
    <row r="1768" spans="1:1" ht="18.75" customHeight="1">
      <c r="A1768"/>
    </row>
    <row r="1769" spans="1:1" ht="18.75" customHeight="1">
      <c r="A1769"/>
    </row>
    <row r="1770" spans="1:1" ht="18.75" customHeight="1">
      <c r="A1770"/>
    </row>
    <row r="1771" spans="1:1" ht="18.75" customHeight="1">
      <c r="A1771"/>
    </row>
    <row r="1772" spans="1:1" ht="18.75" customHeight="1">
      <c r="A1772"/>
    </row>
    <row r="1773" spans="1:1" ht="18.75" customHeight="1">
      <c r="A1773"/>
    </row>
    <row r="1774" spans="1:1" ht="18.75" customHeight="1">
      <c r="A1774"/>
    </row>
    <row r="1775" spans="1:1" ht="18.75" customHeight="1">
      <c r="A1775"/>
    </row>
    <row r="1776" spans="1:1" ht="18.75" customHeight="1">
      <c r="A1776"/>
    </row>
    <row r="1777" spans="1:1" ht="18.75" customHeight="1">
      <c r="A1777"/>
    </row>
    <row r="1778" spans="1:1" ht="18.75" customHeight="1">
      <c r="A1778"/>
    </row>
    <row r="1779" spans="1:1" ht="18.75" customHeight="1">
      <c r="A1779"/>
    </row>
    <row r="1780" spans="1:1" ht="18.75" customHeight="1">
      <c r="A1780"/>
    </row>
    <row r="1781" spans="1:1" ht="18.75" customHeight="1">
      <c r="A1781"/>
    </row>
    <row r="1782" spans="1:1" ht="18.75" customHeight="1">
      <c r="A1782"/>
    </row>
    <row r="1783" spans="1:1" ht="18.75" customHeight="1">
      <c r="A1783"/>
    </row>
    <row r="1784" spans="1:1" ht="18.75" customHeight="1">
      <c r="A1784"/>
    </row>
    <row r="1785" spans="1:1" ht="18.75" customHeight="1">
      <c r="A1785"/>
    </row>
    <row r="1786" spans="1:1" ht="18.75" customHeight="1">
      <c r="A1786"/>
    </row>
    <row r="1787" spans="1:1" ht="18.75" customHeight="1">
      <c r="A1787"/>
    </row>
    <row r="1788" spans="1:1" ht="18.75" customHeight="1">
      <c r="A1788"/>
    </row>
    <row r="1789" spans="1:1" ht="18.75" customHeight="1">
      <c r="A1789"/>
    </row>
    <row r="1790" spans="1:1" ht="18.75" customHeight="1">
      <c r="A1790"/>
    </row>
    <row r="1791" spans="1:1" ht="18.75" customHeight="1">
      <c r="A1791"/>
    </row>
    <row r="1792" spans="1:1" ht="18.75" customHeight="1">
      <c r="A1792"/>
    </row>
    <row r="1793" spans="1:1" ht="18.75" customHeight="1">
      <c r="A1793"/>
    </row>
    <row r="1794" spans="1:1" ht="18.75" customHeight="1">
      <c r="A1794"/>
    </row>
    <row r="1795" spans="1:1" ht="18.75" customHeight="1">
      <c r="A1795"/>
    </row>
    <row r="1796" spans="1:1" ht="18.75" customHeight="1">
      <c r="A1796"/>
    </row>
    <row r="1797" spans="1:1" ht="18.75" customHeight="1">
      <c r="A1797"/>
    </row>
    <row r="1798" spans="1:1" ht="18.75" customHeight="1">
      <c r="A1798"/>
    </row>
    <row r="1799" spans="1:1" ht="18.75" customHeight="1">
      <c r="A1799"/>
    </row>
    <row r="1800" spans="1:1" ht="18.75" customHeight="1">
      <c r="A1800"/>
    </row>
    <row r="1801" spans="1:1" ht="18.75" customHeight="1">
      <c r="A1801"/>
    </row>
    <row r="1802" spans="1:1" ht="18.75" customHeight="1">
      <c r="A1802"/>
    </row>
    <row r="1803" spans="1:1" ht="18.75" customHeight="1">
      <c r="A1803"/>
    </row>
    <row r="1804" spans="1:1" ht="18.75" customHeight="1">
      <c r="A1804"/>
    </row>
    <row r="1805" spans="1:1" ht="18.75" customHeight="1">
      <c r="A1805"/>
    </row>
    <row r="1806" spans="1:1" ht="18.75" customHeight="1">
      <c r="A1806"/>
    </row>
    <row r="1807" spans="1:1" ht="18.75" customHeight="1">
      <c r="A1807"/>
    </row>
    <row r="1808" spans="1:1" ht="18.75" customHeight="1">
      <c r="A1808"/>
    </row>
    <row r="1809" spans="1:1" ht="18.75" customHeight="1">
      <c r="A1809"/>
    </row>
    <row r="1810" spans="1:1" ht="18.75" customHeight="1">
      <c r="A1810"/>
    </row>
    <row r="1811" spans="1:1" ht="18.75" customHeight="1">
      <c r="A1811"/>
    </row>
    <row r="1812" spans="1:1" ht="18.75" customHeight="1">
      <c r="A1812"/>
    </row>
    <row r="1813" spans="1:1" ht="18.75" customHeight="1">
      <c r="A1813"/>
    </row>
    <row r="1814" spans="1:1" ht="18.75" customHeight="1">
      <c r="A1814"/>
    </row>
    <row r="1815" spans="1:1" ht="18.75" customHeight="1">
      <c r="A1815"/>
    </row>
    <row r="1816" spans="1:1" ht="18.75" customHeight="1">
      <c r="A1816"/>
    </row>
    <row r="1817" spans="1:1" ht="18.75" customHeight="1">
      <c r="A1817"/>
    </row>
    <row r="1818" spans="1:1" ht="18.75" customHeight="1">
      <c r="A1818"/>
    </row>
    <row r="1819" spans="1:1" ht="18.75" customHeight="1">
      <c r="A1819"/>
    </row>
    <row r="1820" spans="1:1" ht="18.75" customHeight="1">
      <c r="A1820"/>
    </row>
    <row r="1821" spans="1:1" ht="18.75" customHeight="1">
      <c r="A1821"/>
    </row>
    <row r="1822" spans="1:1" ht="18.75" customHeight="1">
      <c r="A1822"/>
    </row>
    <row r="1823" spans="1:1" ht="18.75" customHeight="1">
      <c r="A1823"/>
    </row>
    <row r="1824" spans="1:1" ht="18.75" customHeight="1">
      <c r="A1824"/>
    </row>
    <row r="1825" spans="1:1" ht="18.75" customHeight="1">
      <c r="A1825"/>
    </row>
    <row r="1826" spans="1:1" ht="18.75" customHeight="1">
      <c r="A1826"/>
    </row>
    <row r="1827" spans="1:1" ht="18.75" customHeight="1">
      <c r="A1827"/>
    </row>
    <row r="1828" spans="1:1" ht="18.75" customHeight="1">
      <c r="A1828"/>
    </row>
    <row r="1829" spans="1:1" ht="18.75" customHeight="1">
      <c r="A1829"/>
    </row>
    <row r="1830" spans="1:1" ht="18.75" customHeight="1">
      <c r="A1830"/>
    </row>
    <row r="1831" spans="1:1" ht="18.75" customHeight="1">
      <c r="A1831"/>
    </row>
    <row r="1832" spans="1:1" ht="18.75" customHeight="1">
      <c r="A1832"/>
    </row>
    <row r="1833" spans="1:1" ht="18.75" customHeight="1">
      <c r="A1833"/>
    </row>
    <row r="1834" spans="1:1" ht="18.75" customHeight="1">
      <c r="A1834"/>
    </row>
    <row r="1835" spans="1:1" ht="18.75" customHeight="1">
      <c r="A1835"/>
    </row>
    <row r="1836" spans="1:1" ht="18.75" customHeight="1">
      <c r="A1836"/>
    </row>
    <row r="1837" spans="1:1" ht="18.75" customHeight="1">
      <c r="A1837"/>
    </row>
    <row r="1838" spans="1:1" ht="18.75" customHeight="1">
      <c r="A1838"/>
    </row>
    <row r="1839" spans="1:1" ht="18.75" customHeight="1">
      <c r="A1839"/>
    </row>
    <row r="1840" spans="1:1" ht="18.75" customHeight="1">
      <c r="A1840"/>
    </row>
    <row r="1841" spans="1:1" ht="18.75" customHeight="1">
      <c r="A1841"/>
    </row>
    <row r="1842" spans="1:1" ht="18.75" customHeight="1">
      <c r="A1842"/>
    </row>
    <row r="1843" spans="1:1" ht="18.75" customHeight="1">
      <c r="A1843"/>
    </row>
    <row r="1844" spans="1:1" ht="18.75" customHeight="1">
      <c r="A1844"/>
    </row>
    <row r="1845" spans="1:1" ht="18.75" customHeight="1">
      <c r="A1845"/>
    </row>
    <row r="1846" spans="1:1" ht="18.75" customHeight="1">
      <c r="A1846"/>
    </row>
    <row r="1847" spans="1:1" ht="18.75" customHeight="1">
      <c r="A1847"/>
    </row>
    <row r="1848" spans="1:1" ht="18.75" customHeight="1">
      <c r="A1848"/>
    </row>
    <row r="1849" spans="1:1" ht="18.75" customHeight="1">
      <c r="A1849"/>
    </row>
    <row r="1850" spans="1:1" ht="18.75" customHeight="1">
      <c r="A1850"/>
    </row>
    <row r="1851" spans="1:1" ht="18.75" customHeight="1">
      <c r="A1851"/>
    </row>
    <row r="1852" spans="1:1" ht="18.75" customHeight="1">
      <c r="A1852"/>
    </row>
    <row r="1853" spans="1:1" ht="18.75" customHeight="1">
      <c r="A1853"/>
    </row>
    <row r="1854" spans="1:1" ht="18.75" customHeight="1">
      <c r="A1854"/>
    </row>
    <row r="1855" spans="1:1" ht="18.75" customHeight="1">
      <c r="A1855"/>
    </row>
    <row r="1856" spans="1:1" ht="18.75" customHeight="1">
      <c r="A1856"/>
    </row>
    <row r="1857" spans="1:1" ht="18.75" customHeight="1">
      <c r="A1857"/>
    </row>
    <row r="1858" spans="1:1" ht="18.75" customHeight="1">
      <c r="A1858"/>
    </row>
    <row r="1859" spans="1:1" ht="18.75" customHeight="1">
      <c r="A1859"/>
    </row>
    <row r="1860" spans="1:1" ht="18.75" customHeight="1">
      <c r="A1860"/>
    </row>
    <row r="1861" spans="1:1" ht="18.75" customHeight="1">
      <c r="A1861"/>
    </row>
    <row r="1862" spans="1:1" ht="18.75" customHeight="1">
      <c r="A1862"/>
    </row>
    <row r="1863" spans="1:1" ht="18.75" customHeight="1">
      <c r="A1863"/>
    </row>
    <row r="1864" spans="1:1" ht="18.75" customHeight="1">
      <c r="A1864"/>
    </row>
    <row r="1865" spans="1:1" ht="18.75" customHeight="1">
      <c r="A1865"/>
    </row>
    <row r="1866" spans="1:1" ht="18.75" customHeight="1">
      <c r="A1866"/>
    </row>
    <row r="1867" spans="1:1" ht="18.75" customHeight="1">
      <c r="A1867"/>
    </row>
    <row r="1868" spans="1:1" ht="18.75" customHeight="1">
      <c r="A1868"/>
    </row>
    <row r="1869" spans="1:1" ht="18.75" customHeight="1">
      <c r="A1869"/>
    </row>
    <row r="1870" spans="1:1" ht="18.75" customHeight="1">
      <c r="A1870"/>
    </row>
    <row r="1871" spans="1:1" ht="18.75" customHeight="1">
      <c r="A1871"/>
    </row>
    <row r="1872" spans="1:1" ht="18.75" customHeight="1">
      <c r="A1872"/>
    </row>
    <row r="1873" spans="1:1" ht="18.75" customHeight="1">
      <c r="A1873"/>
    </row>
    <row r="1874" spans="1:1" ht="18.75" customHeight="1">
      <c r="A1874"/>
    </row>
    <row r="1875" spans="1:1" ht="18.75" customHeight="1">
      <c r="A1875"/>
    </row>
    <row r="1876" spans="1:1" ht="18.75" customHeight="1">
      <c r="A1876"/>
    </row>
    <row r="1877" spans="1:1" ht="18.75" customHeight="1">
      <c r="A1877"/>
    </row>
    <row r="1878" spans="1:1" ht="18.75" customHeight="1">
      <c r="A1878"/>
    </row>
    <row r="1879" spans="1:1" ht="18.75" customHeight="1">
      <c r="A1879"/>
    </row>
    <row r="1880" spans="1:1" ht="18.75" customHeight="1">
      <c r="A1880"/>
    </row>
    <row r="1881" spans="1:1" ht="18.75" customHeight="1">
      <c r="A1881"/>
    </row>
    <row r="1882" spans="1:1" ht="18.75" customHeight="1">
      <c r="A1882"/>
    </row>
    <row r="1883" spans="1:1" ht="18.75" customHeight="1">
      <c r="A1883"/>
    </row>
    <row r="1884" spans="1:1" ht="18.75" customHeight="1">
      <c r="A1884"/>
    </row>
    <row r="1885" spans="1:1" ht="18.75" customHeight="1">
      <c r="A1885"/>
    </row>
    <row r="1886" spans="1:1" ht="18.75" customHeight="1">
      <c r="A1886"/>
    </row>
    <row r="1887" spans="1:1" ht="18.75" customHeight="1">
      <c r="A1887"/>
    </row>
    <row r="1888" spans="1:1" ht="18.75" customHeight="1">
      <c r="A1888"/>
    </row>
    <row r="1889" spans="1:1" ht="18.75" customHeight="1">
      <c r="A1889"/>
    </row>
    <row r="1890" spans="1:1" ht="18.75" customHeight="1">
      <c r="A1890"/>
    </row>
    <row r="1891" spans="1:1" ht="18.75" customHeight="1">
      <c r="A1891"/>
    </row>
    <row r="1892" spans="1:1" ht="18.75" customHeight="1">
      <c r="A1892"/>
    </row>
    <row r="1893" spans="1:1" ht="18.75" customHeight="1">
      <c r="A1893"/>
    </row>
    <row r="1894" spans="1:1" ht="18.75" customHeight="1">
      <c r="A1894"/>
    </row>
    <row r="1895" spans="1:1" ht="18.75" customHeight="1">
      <c r="A1895"/>
    </row>
    <row r="1896" spans="1:1" ht="18.75" customHeight="1">
      <c r="A1896"/>
    </row>
    <row r="1897" spans="1:1" ht="18.75" customHeight="1">
      <c r="A1897"/>
    </row>
    <row r="1898" spans="1:1" ht="18.75" customHeight="1">
      <c r="A1898"/>
    </row>
    <row r="1899" spans="1:1" ht="18.75" customHeight="1">
      <c r="A1899"/>
    </row>
    <row r="1900" spans="1:1" ht="18.75" customHeight="1">
      <c r="A1900"/>
    </row>
    <row r="1901" spans="1:1" ht="18.75" customHeight="1">
      <c r="A1901"/>
    </row>
    <row r="1902" spans="1:1" ht="18.75" customHeight="1">
      <c r="A1902"/>
    </row>
    <row r="1903" spans="1:1" ht="18.75" customHeight="1">
      <c r="A1903"/>
    </row>
    <row r="1904" spans="1:1" ht="18.75" customHeight="1">
      <c r="A1904"/>
    </row>
    <row r="1905" spans="1:1" ht="18.75" customHeight="1">
      <c r="A1905"/>
    </row>
    <row r="1906" spans="1:1" ht="18.75" customHeight="1">
      <c r="A1906"/>
    </row>
    <row r="1907" spans="1:1" ht="18.75" customHeight="1">
      <c r="A1907"/>
    </row>
    <row r="1908" spans="1:1" ht="18.75" customHeight="1">
      <c r="A1908"/>
    </row>
    <row r="1909" spans="1:1" ht="18.75" customHeight="1">
      <c r="A1909"/>
    </row>
    <row r="1910" spans="1:1" ht="18.75" customHeight="1">
      <c r="A1910"/>
    </row>
    <row r="1911" spans="1:1" ht="18.75" customHeight="1">
      <c r="A1911"/>
    </row>
    <row r="1912" spans="1:1" ht="18.75" customHeight="1">
      <c r="A1912"/>
    </row>
    <row r="1913" spans="1:1" ht="18.75" customHeight="1">
      <c r="A1913"/>
    </row>
    <row r="1914" spans="1:1" ht="18.75" customHeight="1">
      <c r="A1914"/>
    </row>
    <row r="1915" spans="1:1" ht="18.75" customHeight="1">
      <c r="A1915"/>
    </row>
    <row r="1916" spans="1:1" ht="18.75" customHeight="1">
      <c r="A1916"/>
    </row>
    <row r="1917" spans="1:1" ht="18.75" customHeight="1">
      <c r="A1917"/>
    </row>
    <row r="1918" spans="1:1" ht="18.75" customHeight="1">
      <c r="A1918"/>
    </row>
    <row r="1919" spans="1:1" ht="18.75" customHeight="1">
      <c r="A1919"/>
    </row>
    <row r="1920" spans="1:1" ht="18.75" customHeight="1">
      <c r="A1920"/>
    </row>
    <row r="1921" spans="1:1" ht="18.75" customHeight="1">
      <c r="A1921"/>
    </row>
    <row r="1922" spans="1:1" ht="18.75" customHeight="1">
      <c r="A1922"/>
    </row>
    <row r="1923" spans="1:1" ht="18.75" customHeight="1">
      <c r="A1923"/>
    </row>
    <row r="1924" spans="1:1" ht="18.75" customHeight="1">
      <c r="A1924"/>
    </row>
    <row r="1925" spans="1:1" ht="18.75" customHeight="1">
      <c r="A1925"/>
    </row>
    <row r="1926" spans="1:1" ht="18.75" customHeight="1">
      <c r="A1926"/>
    </row>
    <row r="1927" spans="1:1" ht="18.75" customHeight="1">
      <c r="A1927"/>
    </row>
    <row r="1928" spans="1:1" ht="18.75" customHeight="1">
      <c r="A1928"/>
    </row>
    <row r="1929" spans="1:1" ht="18.75" customHeight="1">
      <c r="A1929"/>
    </row>
    <row r="1930" spans="1:1" ht="18.75" customHeight="1">
      <c r="A1930"/>
    </row>
    <row r="1931" spans="1:1" ht="18.75" customHeight="1">
      <c r="A1931"/>
    </row>
    <row r="1932" spans="1:1" ht="18.75" customHeight="1">
      <c r="A1932"/>
    </row>
    <row r="1933" spans="1:1" ht="18.75" customHeight="1">
      <c r="A1933"/>
    </row>
    <row r="1934" spans="1:1" ht="18.75" customHeight="1">
      <c r="A1934"/>
    </row>
    <row r="1935" spans="1:1" ht="18.75" customHeight="1">
      <c r="A1935"/>
    </row>
    <row r="1936" spans="1:1" ht="18.75" customHeight="1">
      <c r="A1936"/>
    </row>
    <row r="1937" spans="1:1" ht="18.75" customHeight="1">
      <c r="A1937"/>
    </row>
    <row r="1938" spans="1:1" ht="18.75" customHeight="1">
      <c r="A1938"/>
    </row>
    <row r="1939" spans="1:1" ht="18.75" customHeight="1">
      <c r="A1939"/>
    </row>
    <row r="1940" spans="1:1" ht="18.75" customHeight="1">
      <c r="A1940"/>
    </row>
    <row r="1941" spans="1:1" ht="18.75" customHeight="1">
      <c r="A1941"/>
    </row>
    <row r="1942" spans="1:1" ht="18.75" customHeight="1">
      <c r="A1942"/>
    </row>
    <row r="1943" spans="1:1" ht="18.75" customHeight="1">
      <c r="A1943"/>
    </row>
    <row r="1944" spans="1:1" ht="18.75" customHeight="1">
      <c r="A1944"/>
    </row>
    <row r="1945" spans="1:1" ht="18.75" customHeight="1">
      <c r="A1945"/>
    </row>
    <row r="1946" spans="1:1" ht="18.75" customHeight="1">
      <c r="A1946"/>
    </row>
    <row r="1947" spans="1:1" ht="18.75" customHeight="1">
      <c r="A1947"/>
    </row>
    <row r="1948" spans="1:1" ht="18.75" customHeight="1">
      <c r="A1948"/>
    </row>
    <row r="1949" spans="1:1" ht="18.75" customHeight="1">
      <c r="A1949"/>
    </row>
    <row r="1950" spans="1:1" ht="18.75" customHeight="1">
      <c r="A1950"/>
    </row>
    <row r="1951" spans="1:1" ht="18.75" customHeight="1">
      <c r="A1951"/>
    </row>
    <row r="1952" spans="1:1" ht="18.75" customHeight="1">
      <c r="A1952"/>
    </row>
    <row r="1953" spans="1:1" ht="18.75" customHeight="1">
      <c r="A1953"/>
    </row>
    <row r="1954" spans="1:1" ht="18.75" customHeight="1">
      <c r="A1954"/>
    </row>
    <row r="1955" spans="1:1" ht="18.75" customHeight="1">
      <c r="A1955"/>
    </row>
    <row r="1956" spans="1:1" ht="18.75" customHeight="1">
      <c r="A1956"/>
    </row>
    <row r="1957" spans="1:1" ht="18.75" customHeight="1">
      <c r="A1957"/>
    </row>
    <row r="1958" spans="1:1" ht="18.75" customHeight="1">
      <c r="A1958"/>
    </row>
    <row r="1959" spans="1:1" ht="18.75" customHeight="1">
      <c r="A1959"/>
    </row>
    <row r="1960" spans="1:1" ht="18.75" customHeight="1">
      <c r="A1960"/>
    </row>
    <row r="1961" spans="1:1" ht="18.75" customHeight="1">
      <c r="A1961"/>
    </row>
    <row r="1962" spans="1:1" ht="18.75" customHeight="1">
      <c r="A1962"/>
    </row>
    <row r="1963" spans="1:1" ht="18.75" customHeight="1">
      <c r="A1963"/>
    </row>
    <row r="1964" spans="1:1" ht="18.75" customHeight="1">
      <c r="A1964"/>
    </row>
    <row r="1965" spans="1:1" ht="18.75" customHeight="1">
      <c r="A1965"/>
    </row>
    <row r="1966" spans="1:1" ht="18.75" customHeight="1">
      <c r="A1966"/>
    </row>
    <row r="1967" spans="1:1" ht="18.75" customHeight="1">
      <c r="A1967"/>
    </row>
    <row r="1968" spans="1:1" ht="18.75" customHeight="1">
      <c r="A1968"/>
    </row>
    <row r="1969" spans="1:1" ht="18.75" customHeight="1">
      <c r="A1969"/>
    </row>
    <row r="1970" spans="1:1" ht="18.75" customHeight="1">
      <c r="A1970"/>
    </row>
    <row r="1971" spans="1:1" ht="18.75" customHeight="1">
      <c r="A1971"/>
    </row>
    <row r="1972" spans="1:1" ht="18.75" customHeight="1">
      <c r="A1972"/>
    </row>
    <row r="1973" spans="1:1" ht="18.75" customHeight="1">
      <c r="A1973"/>
    </row>
    <row r="1974" spans="1:1" ht="18.75" customHeight="1">
      <c r="A1974"/>
    </row>
    <row r="1975" spans="1:1" ht="18.75" customHeight="1">
      <c r="A1975"/>
    </row>
    <row r="1976" spans="1:1" ht="18.75" customHeight="1">
      <c r="A1976"/>
    </row>
    <row r="1977" spans="1:1" ht="18.75" customHeight="1">
      <c r="A1977"/>
    </row>
    <row r="1978" spans="1:1" ht="18.75" customHeight="1">
      <c r="A1978"/>
    </row>
    <row r="1979" spans="1:1" ht="18.75" customHeight="1">
      <c r="A1979"/>
    </row>
    <row r="1980" spans="1:1" ht="18.75" customHeight="1">
      <c r="A1980"/>
    </row>
    <row r="1981" spans="1:1" ht="18.75" customHeight="1">
      <c r="A1981"/>
    </row>
    <row r="1982" spans="1:1" ht="18.75" customHeight="1">
      <c r="A1982"/>
    </row>
    <row r="1983" spans="1:1" ht="18.75" customHeight="1">
      <c r="A1983"/>
    </row>
    <row r="1984" spans="1:1" ht="18.75" customHeight="1">
      <c r="A1984"/>
    </row>
    <row r="1985" spans="1:1" ht="18.75" customHeight="1">
      <c r="A1985"/>
    </row>
    <row r="1986" spans="1:1" ht="18.75" customHeight="1">
      <c r="A1986"/>
    </row>
    <row r="1987" spans="1:1" ht="18.75" customHeight="1">
      <c r="A1987"/>
    </row>
    <row r="1988" spans="1:1" ht="18.75" customHeight="1">
      <c r="A1988"/>
    </row>
    <row r="1989" spans="1:1" ht="18.75" customHeight="1">
      <c r="A1989"/>
    </row>
    <row r="1990" spans="1:1" ht="18.75" customHeight="1">
      <c r="A1990"/>
    </row>
    <row r="1991" spans="1:1" ht="18.75" customHeight="1">
      <c r="A1991"/>
    </row>
    <row r="1992" spans="1:1" ht="18.75" customHeight="1">
      <c r="A1992"/>
    </row>
    <row r="1993" spans="1:1" ht="18.75" customHeight="1">
      <c r="A1993"/>
    </row>
    <row r="1994" spans="1:1" ht="18.75" customHeight="1">
      <c r="A1994"/>
    </row>
    <row r="1995" spans="1:1" ht="18.75" customHeight="1">
      <c r="A1995"/>
    </row>
    <row r="1996" spans="1:1" ht="18.75" customHeight="1">
      <c r="A1996"/>
    </row>
    <row r="1997" spans="1:1" ht="18.75" customHeight="1">
      <c r="A1997"/>
    </row>
    <row r="1998" spans="1:1" ht="18.75" customHeight="1">
      <c r="A1998"/>
    </row>
    <row r="1999" spans="1:1" ht="18.75" customHeight="1">
      <c r="A1999"/>
    </row>
    <row r="2000" spans="1:1" ht="18.75" customHeight="1">
      <c r="A2000"/>
    </row>
    <row r="2001" spans="1:1" ht="18.75" customHeight="1">
      <c r="A2001"/>
    </row>
    <row r="2002" spans="1:1" ht="18.75" customHeight="1">
      <c r="A2002"/>
    </row>
    <row r="2003" spans="1:1" ht="18.75" customHeight="1">
      <c r="A2003"/>
    </row>
    <row r="2004" spans="1:1" ht="18.75" customHeight="1">
      <c r="A2004"/>
    </row>
    <row r="2005" spans="1:1" ht="18.75" customHeight="1">
      <c r="A2005"/>
    </row>
    <row r="2006" spans="1:1" ht="18.75" customHeight="1">
      <c r="A2006"/>
    </row>
    <row r="2007" spans="1:1" ht="18.75" customHeight="1">
      <c r="A2007"/>
    </row>
    <row r="2008" spans="1:1" ht="18.75" customHeight="1">
      <c r="A2008"/>
    </row>
    <row r="2009" spans="1:1" ht="18.75" customHeight="1">
      <c r="A2009"/>
    </row>
    <row r="2010" spans="1:1" ht="18.75" customHeight="1">
      <c r="A2010"/>
    </row>
    <row r="2011" spans="1:1" ht="18.75" customHeight="1">
      <c r="A2011"/>
    </row>
    <row r="2012" spans="1:1" ht="18.75" customHeight="1">
      <c r="A2012"/>
    </row>
    <row r="2013" spans="1:1" ht="18.75" customHeight="1">
      <c r="A2013"/>
    </row>
    <row r="2014" spans="1:1" ht="18.75" customHeight="1">
      <c r="A2014"/>
    </row>
    <row r="2015" spans="1:1" ht="18.75" customHeight="1">
      <c r="A2015"/>
    </row>
    <row r="2016" spans="1:1" ht="18.75" customHeight="1">
      <c r="A2016"/>
    </row>
    <row r="2017" spans="1:1" ht="18.75" customHeight="1">
      <c r="A2017"/>
    </row>
    <row r="2018" spans="1:1" ht="18.75" customHeight="1">
      <c r="A2018"/>
    </row>
    <row r="2019" spans="1:1" ht="18.75" customHeight="1">
      <c r="A2019"/>
    </row>
    <row r="2020" spans="1:1" ht="18.75" customHeight="1">
      <c r="A2020"/>
    </row>
    <row r="2021" spans="1:1" ht="18.75" customHeight="1">
      <c r="A2021"/>
    </row>
    <row r="2022" spans="1:1" ht="18.75" customHeight="1">
      <c r="A2022"/>
    </row>
    <row r="2023" spans="1:1" ht="18.75" customHeight="1">
      <c r="A2023"/>
    </row>
    <row r="2024" spans="1:1" ht="18.75" customHeight="1">
      <c r="A2024"/>
    </row>
    <row r="2025" spans="1:1" ht="18.75" customHeight="1">
      <c r="A2025"/>
    </row>
    <row r="2026" spans="1:1" ht="18.75" customHeight="1">
      <c r="A2026"/>
    </row>
    <row r="2027" spans="1:1" ht="18.75" customHeight="1">
      <c r="A2027"/>
    </row>
    <row r="2028" spans="1:1" ht="18.75" customHeight="1">
      <c r="A2028"/>
    </row>
    <row r="2029" spans="1:1" ht="18.75" customHeight="1">
      <c r="A2029"/>
    </row>
    <row r="2030" spans="1:1" ht="18.75" customHeight="1">
      <c r="A2030"/>
    </row>
    <row r="2031" spans="1:1" ht="18.75" customHeight="1">
      <c r="A2031"/>
    </row>
    <row r="2032" spans="1:1" ht="18.75" customHeight="1">
      <c r="A2032"/>
    </row>
    <row r="2033" spans="1:1" ht="18.75" customHeight="1">
      <c r="A2033"/>
    </row>
    <row r="2034" spans="1:1" ht="18.75" customHeight="1">
      <c r="A2034"/>
    </row>
    <row r="2035" spans="1:1" ht="18.75" customHeight="1">
      <c r="A2035"/>
    </row>
    <row r="2036" spans="1:1" ht="18.75" customHeight="1">
      <c r="A2036"/>
    </row>
    <row r="2037" spans="1:1" ht="18.75" customHeight="1">
      <c r="A2037"/>
    </row>
    <row r="2038" spans="1:1" ht="18.75" customHeight="1">
      <c r="A2038"/>
    </row>
    <row r="2039" spans="1:1" ht="18.75" customHeight="1">
      <c r="A2039"/>
    </row>
    <row r="2040" spans="1:1" ht="18.75" customHeight="1">
      <c r="A2040"/>
    </row>
    <row r="2041" spans="1:1" ht="18.75" customHeight="1">
      <c r="A2041"/>
    </row>
    <row r="2042" spans="1:1" ht="18.75" customHeight="1">
      <c r="A2042"/>
    </row>
    <row r="2043" spans="1:1" ht="18.75" customHeight="1">
      <c r="A2043"/>
    </row>
    <row r="2044" spans="1:1" ht="18.75" customHeight="1">
      <c r="A2044"/>
    </row>
    <row r="2045" spans="1:1" ht="18.75" customHeight="1">
      <c r="A2045"/>
    </row>
    <row r="2046" spans="1:1" ht="18.75" customHeight="1">
      <c r="A2046"/>
    </row>
    <row r="2047" spans="1:1" ht="18.75" customHeight="1">
      <c r="A2047"/>
    </row>
    <row r="2048" spans="1:1" ht="18.75" customHeight="1">
      <c r="A2048"/>
    </row>
    <row r="2049" spans="1:1" ht="18.75" customHeight="1">
      <c r="A2049"/>
    </row>
    <row r="2050" spans="1:1" ht="18.75" customHeight="1">
      <c r="A2050"/>
    </row>
    <row r="2051" spans="1:1" ht="18.75" customHeight="1">
      <c r="A2051"/>
    </row>
    <row r="2052" spans="1:1" ht="18.75" customHeight="1">
      <c r="A2052"/>
    </row>
    <row r="2053" spans="1:1" ht="18.75" customHeight="1">
      <c r="A2053"/>
    </row>
    <row r="2054" spans="1:1" ht="18.75" customHeight="1">
      <c r="A2054"/>
    </row>
    <row r="2055" spans="1:1" ht="18.75" customHeight="1">
      <c r="A2055"/>
    </row>
    <row r="2056" spans="1:1" ht="18.75" customHeight="1">
      <c r="A2056"/>
    </row>
    <row r="2057" spans="1:1" ht="18.75" customHeight="1">
      <c r="A2057"/>
    </row>
    <row r="2058" spans="1:1" ht="18.75" customHeight="1">
      <c r="A2058"/>
    </row>
    <row r="2059" spans="1:1" ht="18.75" customHeight="1">
      <c r="A2059"/>
    </row>
    <row r="2060" spans="1:1" ht="18.75" customHeight="1">
      <c r="A2060"/>
    </row>
    <row r="2061" spans="1:1" ht="18.75" customHeight="1">
      <c r="A2061"/>
    </row>
    <row r="2062" spans="1:1" ht="18.75" customHeight="1">
      <c r="A2062"/>
    </row>
    <row r="2063" spans="1:1" ht="18.75" customHeight="1">
      <c r="A2063"/>
    </row>
    <row r="2064" spans="1:1" ht="18.75" customHeight="1">
      <c r="A2064"/>
    </row>
    <row r="2065" spans="1:1" ht="18.75" customHeight="1">
      <c r="A2065"/>
    </row>
    <row r="2066" spans="1:1" ht="18.75" customHeight="1">
      <c r="A2066"/>
    </row>
    <row r="2067" spans="1:1" ht="18.75" customHeight="1">
      <c r="A2067"/>
    </row>
    <row r="2068" spans="1:1" ht="18.75" customHeight="1">
      <c r="A2068"/>
    </row>
    <row r="2069" spans="1:1" ht="18.75" customHeight="1">
      <c r="A2069"/>
    </row>
    <row r="2070" spans="1:1" ht="18.75" customHeight="1">
      <c r="A2070"/>
    </row>
    <row r="2071" spans="1:1" ht="18.75" customHeight="1">
      <c r="A2071"/>
    </row>
    <row r="2072" spans="1:1" ht="18.75" customHeight="1">
      <c r="A2072"/>
    </row>
    <row r="2073" spans="1:1" ht="18.75" customHeight="1">
      <c r="A2073"/>
    </row>
    <row r="2074" spans="1:1" ht="18.75" customHeight="1">
      <c r="A2074"/>
    </row>
    <row r="2075" spans="1:1" ht="18.75" customHeight="1">
      <c r="A2075"/>
    </row>
    <row r="2076" spans="1:1" ht="18.75" customHeight="1">
      <c r="A2076"/>
    </row>
    <row r="2077" spans="1:1" ht="18.75" customHeight="1">
      <c r="A2077"/>
    </row>
    <row r="2078" spans="1:1" ht="18.75" customHeight="1">
      <c r="A2078"/>
    </row>
    <row r="2079" spans="1:1" ht="18.75" customHeight="1">
      <c r="A2079"/>
    </row>
    <row r="2080" spans="1:1" ht="18.75" customHeight="1">
      <c r="A2080"/>
    </row>
    <row r="2081" spans="1:1" ht="18.75" customHeight="1">
      <c r="A2081"/>
    </row>
    <row r="2082" spans="1:1" ht="18.75" customHeight="1">
      <c r="A2082"/>
    </row>
    <row r="2083" spans="1:1" ht="18.75" customHeight="1">
      <c r="A2083"/>
    </row>
    <row r="2084" spans="1:1" ht="18.75" customHeight="1">
      <c r="A2084"/>
    </row>
    <row r="2085" spans="1:1" ht="18.75" customHeight="1">
      <c r="A2085"/>
    </row>
    <row r="2086" spans="1:1" ht="18.75" customHeight="1">
      <c r="A2086"/>
    </row>
    <row r="2087" spans="1:1" ht="18.75" customHeight="1">
      <c r="A2087"/>
    </row>
    <row r="2088" spans="1:1" ht="18.75" customHeight="1">
      <c r="A2088"/>
    </row>
    <row r="2089" spans="1:1" ht="18.75" customHeight="1">
      <c r="A2089"/>
    </row>
    <row r="2090" spans="1:1" ht="18.75" customHeight="1">
      <c r="A2090"/>
    </row>
    <row r="2091" spans="1:1" ht="18.75" customHeight="1">
      <c r="A2091"/>
    </row>
    <row r="2092" spans="1:1" ht="18.75" customHeight="1">
      <c r="A2092"/>
    </row>
    <row r="2093" spans="1:1" ht="18.75" customHeight="1">
      <c r="A2093"/>
    </row>
    <row r="2094" spans="1:1" ht="18.75" customHeight="1">
      <c r="A2094"/>
    </row>
    <row r="2095" spans="1:1" ht="18.75" customHeight="1">
      <c r="A2095"/>
    </row>
    <row r="2096" spans="1:1" ht="18.75" customHeight="1">
      <c r="A2096"/>
    </row>
    <row r="2097" spans="1:1" ht="18.75" customHeight="1">
      <c r="A2097"/>
    </row>
    <row r="2098" spans="1:1" ht="18.75" customHeight="1">
      <c r="A2098"/>
    </row>
    <row r="2099" spans="1:1" ht="18.75" customHeight="1">
      <c r="A2099"/>
    </row>
    <row r="2100" spans="1:1" ht="18.75" customHeight="1">
      <c r="A2100"/>
    </row>
    <row r="2101" spans="1:1" ht="18.75" customHeight="1">
      <c r="A2101"/>
    </row>
    <row r="2102" spans="1:1" ht="18.75" customHeight="1">
      <c r="A2102"/>
    </row>
    <row r="2103" spans="1:1" ht="18.75" customHeight="1">
      <c r="A2103"/>
    </row>
    <row r="2104" spans="1:1" ht="18.75" customHeight="1">
      <c r="A2104"/>
    </row>
    <row r="2105" spans="1:1" ht="18.75" customHeight="1">
      <c r="A2105"/>
    </row>
    <row r="2106" spans="1:1" ht="18.75" customHeight="1">
      <c r="A2106"/>
    </row>
    <row r="2107" spans="1:1" ht="18.75" customHeight="1">
      <c r="A2107"/>
    </row>
    <row r="2108" spans="1:1" ht="18.75" customHeight="1">
      <c r="A2108"/>
    </row>
    <row r="2109" spans="1:1" ht="18.75" customHeight="1">
      <c r="A2109"/>
    </row>
    <row r="2110" spans="1:1" ht="18.75" customHeight="1">
      <c r="A2110"/>
    </row>
    <row r="2111" spans="1:1" ht="18.75" customHeight="1">
      <c r="A2111"/>
    </row>
    <row r="2112" spans="1:1" ht="18.75" customHeight="1">
      <c r="A2112"/>
    </row>
    <row r="2113" spans="1:1" ht="18.75" customHeight="1">
      <c r="A2113"/>
    </row>
    <row r="2114" spans="1:1" ht="18.75" customHeight="1">
      <c r="A2114"/>
    </row>
    <row r="2115" spans="1:1" ht="18.75" customHeight="1">
      <c r="A2115"/>
    </row>
    <row r="2116" spans="1:1" ht="18.75" customHeight="1">
      <c r="A2116"/>
    </row>
    <row r="2117" spans="1:1" ht="18.75" customHeight="1">
      <c r="A2117"/>
    </row>
    <row r="2118" spans="1:1" ht="18.75" customHeight="1">
      <c r="A2118"/>
    </row>
    <row r="2119" spans="1:1" ht="18.75" customHeight="1">
      <c r="A2119"/>
    </row>
    <row r="2120" spans="1:1" ht="18.75" customHeight="1">
      <c r="A2120"/>
    </row>
    <row r="2121" spans="1:1" ht="18.75" customHeight="1">
      <c r="A2121"/>
    </row>
    <row r="2122" spans="1:1" ht="18.75" customHeight="1">
      <c r="A2122"/>
    </row>
    <row r="2123" spans="1:1" ht="18.75" customHeight="1">
      <c r="A2123"/>
    </row>
    <row r="2124" spans="1:1" ht="18.75" customHeight="1">
      <c r="A2124"/>
    </row>
    <row r="2125" spans="1:1" ht="18.75" customHeight="1">
      <c r="A2125"/>
    </row>
    <row r="2126" spans="1:1" ht="18.75" customHeight="1">
      <c r="A2126"/>
    </row>
    <row r="2127" spans="1:1" ht="18.75" customHeight="1">
      <c r="A2127"/>
    </row>
    <row r="2128" spans="1:1" ht="18.75" customHeight="1">
      <c r="A2128"/>
    </row>
    <row r="2129" spans="1:1" ht="18.75" customHeight="1">
      <c r="A2129"/>
    </row>
    <row r="2130" spans="1:1" ht="18.75" customHeight="1">
      <c r="A2130"/>
    </row>
    <row r="2131" spans="1:1" ht="18.75" customHeight="1">
      <c r="A2131"/>
    </row>
    <row r="2132" spans="1:1" ht="18.75" customHeight="1">
      <c r="A2132"/>
    </row>
    <row r="2133" spans="1:1" ht="18.75" customHeight="1">
      <c r="A2133"/>
    </row>
    <row r="2134" spans="1:1" ht="18.75" customHeight="1">
      <c r="A2134"/>
    </row>
    <row r="2135" spans="1:1" ht="18.75" customHeight="1">
      <c r="A2135"/>
    </row>
    <row r="2136" spans="1:1" ht="18.75" customHeight="1">
      <c r="A2136"/>
    </row>
    <row r="2137" spans="1:1" ht="18.75" customHeight="1">
      <c r="A2137"/>
    </row>
    <row r="2138" spans="1:1" ht="18.75" customHeight="1">
      <c r="A2138"/>
    </row>
    <row r="2139" spans="1:1" ht="18.75" customHeight="1">
      <c r="A2139"/>
    </row>
    <row r="2140" spans="1:1" ht="18.75" customHeight="1">
      <c r="A2140"/>
    </row>
    <row r="2141" spans="1:1" ht="18.75" customHeight="1">
      <c r="A2141"/>
    </row>
    <row r="2142" spans="1:1" ht="18.75" customHeight="1">
      <c r="A2142"/>
    </row>
    <row r="2143" spans="1:1" ht="18.75" customHeight="1">
      <c r="A2143"/>
    </row>
    <row r="2144" spans="1:1" ht="18.75" customHeight="1">
      <c r="A2144"/>
    </row>
    <row r="2145" spans="1:1" ht="18.75" customHeight="1">
      <c r="A2145"/>
    </row>
    <row r="2146" spans="1:1" ht="18.75" customHeight="1">
      <c r="A2146"/>
    </row>
    <row r="2147" spans="1:1" ht="18.75" customHeight="1">
      <c r="A2147"/>
    </row>
    <row r="2148" spans="1:1" ht="18.75" customHeight="1">
      <c r="A2148"/>
    </row>
    <row r="2149" spans="1:1" ht="18.75" customHeight="1">
      <c r="A2149"/>
    </row>
    <row r="2150" spans="1:1" ht="18.75" customHeight="1">
      <c r="A2150"/>
    </row>
    <row r="2151" spans="1:1" ht="18.75" customHeight="1">
      <c r="A2151"/>
    </row>
    <row r="2152" spans="1:1" ht="18.75" customHeight="1">
      <c r="A2152"/>
    </row>
    <row r="2153" spans="1:1" ht="18.75" customHeight="1">
      <c r="A2153"/>
    </row>
    <row r="2154" spans="1:1" ht="18.75" customHeight="1">
      <c r="A2154"/>
    </row>
    <row r="2155" spans="1:1" ht="18.75" customHeight="1">
      <c r="A2155"/>
    </row>
    <row r="2156" spans="1:1" ht="18.75" customHeight="1">
      <c r="A2156"/>
    </row>
    <row r="2157" spans="1:1" ht="18.75" customHeight="1">
      <c r="A2157"/>
    </row>
    <row r="2158" spans="1:1" ht="18.75" customHeight="1">
      <c r="A2158"/>
    </row>
    <row r="2159" spans="1:1" ht="18.75" customHeight="1">
      <c r="A2159"/>
    </row>
    <row r="2160" spans="1:1" ht="18.75" customHeight="1">
      <c r="A2160"/>
    </row>
    <row r="2161" spans="1:1" ht="18.75" customHeight="1">
      <c r="A2161"/>
    </row>
    <row r="2162" spans="1:1" ht="18.75" customHeight="1">
      <c r="A2162"/>
    </row>
    <row r="2163" spans="1:1" ht="18.75" customHeight="1">
      <c r="A2163"/>
    </row>
    <row r="2164" spans="1:1" ht="18.75" customHeight="1">
      <c r="A2164"/>
    </row>
    <row r="2165" spans="1:1" ht="18.75" customHeight="1">
      <c r="A2165"/>
    </row>
    <row r="2166" spans="1:1" ht="18.75" customHeight="1">
      <c r="A2166"/>
    </row>
    <row r="2167" spans="1:1" ht="18.75" customHeight="1">
      <c r="A2167"/>
    </row>
    <row r="2168" spans="1:1" ht="18.75" customHeight="1">
      <c r="A2168"/>
    </row>
    <row r="2169" spans="1:1" ht="18.75" customHeight="1">
      <c r="A2169"/>
    </row>
    <row r="2170" spans="1:1" ht="18.75" customHeight="1">
      <c r="A2170"/>
    </row>
    <row r="2171" spans="1:1" ht="18.75" customHeight="1">
      <c r="A2171"/>
    </row>
    <row r="2172" spans="1:1" ht="18.75" customHeight="1">
      <c r="A2172"/>
    </row>
    <row r="2173" spans="1:1" ht="18.75" customHeight="1">
      <c r="A2173"/>
    </row>
    <row r="2174" spans="1:1" ht="18.75" customHeight="1">
      <c r="A2174"/>
    </row>
    <row r="2175" spans="1:1" ht="18.75" customHeight="1">
      <c r="A2175"/>
    </row>
    <row r="2176" spans="1:1" ht="18.75" customHeight="1">
      <c r="A2176"/>
    </row>
    <row r="2177" spans="1:1" ht="18.75" customHeight="1">
      <c r="A2177"/>
    </row>
    <row r="2178" spans="1:1" ht="18.75" customHeight="1">
      <c r="A2178"/>
    </row>
    <row r="2179" spans="1:1" ht="18.75" customHeight="1">
      <c r="A2179"/>
    </row>
    <row r="2180" spans="1:1" ht="18.75" customHeight="1">
      <c r="A2180"/>
    </row>
    <row r="2181" spans="1:1" ht="18.75" customHeight="1">
      <c r="A2181"/>
    </row>
    <row r="2182" spans="1:1" ht="18.75" customHeight="1">
      <c r="A2182"/>
    </row>
    <row r="2183" spans="1:1" ht="18.75" customHeight="1">
      <c r="A2183"/>
    </row>
    <row r="2184" spans="1:1" ht="18.75" customHeight="1">
      <c r="A2184"/>
    </row>
    <row r="2185" spans="1:1" ht="18.75" customHeight="1">
      <c r="A2185"/>
    </row>
    <row r="2186" spans="1:1" ht="18.75" customHeight="1">
      <c r="A2186"/>
    </row>
    <row r="2187" spans="1:1" ht="18.75" customHeight="1">
      <c r="A2187"/>
    </row>
    <row r="2188" spans="1:1" ht="18.75" customHeight="1">
      <c r="A2188"/>
    </row>
    <row r="2189" spans="1:1" ht="18.75" customHeight="1">
      <c r="A2189"/>
    </row>
    <row r="2190" spans="1:1" ht="18.75" customHeight="1">
      <c r="A2190"/>
    </row>
    <row r="2191" spans="1:1" ht="18.75" customHeight="1">
      <c r="A2191"/>
    </row>
    <row r="2192" spans="1:1" ht="18.75" customHeight="1">
      <c r="A2192"/>
    </row>
    <row r="2193" spans="1:1" ht="18.75" customHeight="1">
      <c r="A2193"/>
    </row>
    <row r="2194" spans="1:1" ht="18.75" customHeight="1">
      <c r="A2194"/>
    </row>
    <row r="2195" spans="1:1" ht="18.75" customHeight="1">
      <c r="A2195"/>
    </row>
    <row r="2196" spans="1:1" ht="18.75" customHeight="1">
      <c r="A2196"/>
    </row>
    <row r="2197" spans="1:1" ht="18.75" customHeight="1">
      <c r="A2197"/>
    </row>
    <row r="2198" spans="1:1" ht="18.75" customHeight="1">
      <c r="A2198"/>
    </row>
    <row r="2199" spans="1:1" ht="18.75" customHeight="1">
      <c r="A2199"/>
    </row>
    <row r="2200" spans="1:1" ht="18.75" customHeight="1">
      <c r="A2200"/>
    </row>
    <row r="2201" spans="1:1" ht="18.75" customHeight="1">
      <c r="A2201"/>
    </row>
    <row r="2202" spans="1:1" ht="18.75" customHeight="1">
      <c r="A2202"/>
    </row>
    <row r="2203" spans="1:1" ht="18.75" customHeight="1">
      <c r="A2203"/>
    </row>
    <row r="2204" spans="1:1" ht="18.75" customHeight="1">
      <c r="A2204"/>
    </row>
    <row r="2205" spans="1:1" ht="18.75" customHeight="1">
      <c r="A2205"/>
    </row>
    <row r="2206" spans="1:1" ht="18.75" customHeight="1">
      <c r="A2206"/>
    </row>
    <row r="2207" spans="1:1" ht="18.75" customHeight="1">
      <c r="A2207"/>
    </row>
    <row r="2208" spans="1:1" ht="18.75" customHeight="1">
      <c r="A2208"/>
    </row>
    <row r="2209" spans="1:1" ht="18.75" customHeight="1">
      <c r="A2209"/>
    </row>
    <row r="2210" spans="1:1" ht="18.75" customHeight="1">
      <c r="A2210"/>
    </row>
    <row r="2211" spans="1:1" ht="18.75" customHeight="1">
      <c r="A2211"/>
    </row>
    <row r="2212" spans="1:1" ht="18.75" customHeight="1">
      <c r="A2212"/>
    </row>
    <row r="2213" spans="1:1" ht="18.75" customHeight="1">
      <c r="A2213"/>
    </row>
    <row r="2214" spans="1:1" ht="18.75" customHeight="1">
      <c r="A2214"/>
    </row>
    <row r="2215" spans="1:1" ht="18.75" customHeight="1">
      <c r="A2215"/>
    </row>
    <row r="2216" spans="1:1" ht="18.75" customHeight="1">
      <c r="A2216"/>
    </row>
    <row r="2217" spans="1:1" ht="18.75" customHeight="1">
      <c r="A2217"/>
    </row>
    <row r="2218" spans="1:1" ht="18.75" customHeight="1">
      <c r="A2218"/>
    </row>
    <row r="2219" spans="1:1" ht="18.75" customHeight="1">
      <c r="A2219"/>
    </row>
    <row r="2220" spans="1:1" ht="18.75" customHeight="1">
      <c r="A2220"/>
    </row>
    <row r="2221" spans="1:1" ht="18.75" customHeight="1">
      <c r="A2221"/>
    </row>
    <row r="2222" spans="1:1" ht="18.75" customHeight="1">
      <c r="A2222"/>
    </row>
    <row r="2223" spans="1:1" ht="18.75" customHeight="1">
      <c r="A2223"/>
    </row>
    <row r="2224" spans="1:1" ht="18.75" customHeight="1">
      <c r="A2224"/>
    </row>
    <row r="2225" spans="1:1" ht="18.75" customHeight="1">
      <c r="A2225"/>
    </row>
    <row r="2226" spans="1:1" ht="18.75" customHeight="1">
      <c r="A2226"/>
    </row>
    <row r="2227" spans="1:1" ht="18.75" customHeight="1">
      <c r="A2227"/>
    </row>
    <row r="2228" spans="1:1" ht="18.75" customHeight="1">
      <c r="A2228"/>
    </row>
    <row r="2229" spans="1:1" ht="18.75" customHeight="1">
      <c r="A2229"/>
    </row>
    <row r="2230" spans="1:1" ht="18.75" customHeight="1">
      <c r="A2230"/>
    </row>
    <row r="2231" spans="1:1" ht="18.75" customHeight="1">
      <c r="A2231"/>
    </row>
    <row r="2232" spans="1:1" ht="18.75" customHeight="1">
      <c r="A2232"/>
    </row>
    <row r="2233" spans="1:1" ht="18.75" customHeight="1">
      <c r="A2233"/>
    </row>
    <row r="2234" spans="1:1" ht="18.75" customHeight="1">
      <c r="A2234"/>
    </row>
    <row r="2235" spans="1:1" ht="18.75" customHeight="1">
      <c r="A2235"/>
    </row>
    <row r="2236" spans="1:1" ht="18.75" customHeight="1">
      <c r="A2236"/>
    </row>
    <row r="2237" spans="1:1" ht="18.75" customHeight="1">
      <c r="A2237"/>
    </row>
    <row r="2238" spans="1:1" ht="18.75" customHeight="1">
      <c r="A2238"/>
    </row>
    <row r="2239" spans="1:1" ht="18.75" customHeight="1">
      <c r="A2239"/>
    </row>
    <row r="2240" spans="1:1" ht="18.75" customHeight="1">
      <c r="A2240"/>
    </row>
    <row r="2241" spans="1:1" ht="18.75" customHeight="1">
      <c r="A2241"/>
    </row>
    <row r="2242" spans="1:1" ht="18.75" customHeight="1">
      <c r="A2242"/>
    </row>
    <row r="2243" spans="1:1" ht="18.75" customHeight="1">
      <c r="A2243"/>
    </row>
    <row r="2244" spans="1:1" ht="18.75" customHeight="1">
      <c r="A2244"/>
    </row>
    <row r="2245" spans="1:1" ht="18.75" customHeight="1">
      <c r="A2245"/>
    </row>
    <row r="2246" spans="1:1" ht="18.75" customHeight="1">
      <c r="A2246"/>
    </row>
    <row r="2247" spans="1:1" ht="18.75" customHeight="1">
      <c r="A2247"/>
    </row>
    <row r="2248" spans="1:1" ht="18.75" customHeight="1">
      <c r="A2248"/>
    </row>
    <row r="2249" spans="1:1" ht="18.75" customHeight="1">
      <c r="A2249"/>
    </row>
    <row r="2250" spans="1:1" ht="18.75" customHeight="1">
      <c r="A2250"/>
    </row>
    <row r="2251" spans="1:1" ht="18.75" customHeight="1">
      <c r="A2251"/>
    </row>
    <row r="2252" spans="1:1" ht="18.75" customHeight="1">
      <c r="A2252"/>
    </row>
    <row r="2253" spans="1:1" ht="18.75" customHeight="1">
      <c r="A2253"/>
    </row>
    <row r="2254" spans="1:1" ht="18.75" customHeight="1">
      <c r="A2254"/>
    </row>
    <row r="2255" spans="1:1" ht="18.75" customHeight="1">
      <c r="A2255"/>
    </row>
    <row r="2256" spans="1:1" ht="18.75" customHeight="1">
      <c r="A2256"/>
    </row>
    <row r="2257" spans="1:1" ht="18.75" customHeight="1">
      <c r="A2257"/>
    </row>
    <row r="2258" spans="1:1" ht="18.75" customHeight="1">
      <c r="A2258"/>
    </row>
    <row r="2259" spans="1:1" ht="18.75" customHeight="1">
      <c r="A2259"/>
    </row>
    <row r="2260" spans="1:1" ht="18.75" customHeight="1">
      <c r="A2260"/>
    </row>
    <row r="2261" spans="1:1" ht="18.75" customHeight="1">
      <c r="A2261"/>
    </row>
    <row r="2262" spans="1:1" ht="18.75" customHeight="1">
      <c r="A2262"/>
    </row>
    <row r="2263" spans="1:1" ht="18.75" customHeight="1">
      <c r="A2263"/>
    </row>
    <row r="2264" spans="1:1" ht="18.75" customHeight="1">
      <c r="A2264"/>
    </row>
    <row r="2265" spans="1:1" ht="18.75" customHeight="1">
      <c r="A2265"/>
    </row>
    <row r="2266" spans="1:1" ht="18.75" customHeight="1">
      <c r="A2266"/>
    </row>
    <row r="2267" spans="1:1" ht="18.75" customHeight="1">
      <c r="A2267"/>
    </row>
    <row r="2268" spans="1:1" ht="18.75" customHeight="1">
      <c r="A2268"/>
    </row>
    <row r="2269" spans="1:1" ht="18.75" customHeight="1">
      <c r="A2269"/>
    </row>
    <row r="2270" spans="1:1" ht="18.75" customHeight="1">
      <c r="A2270"/>
    </row>
    <row r="2271" spans="1:1" ht="18.75" customHeight="1">
      <c r="A2271"/>
    </row>
    <row r="2272" spans="1:1" ht="18.75" customHeight="1">
      <c r="A2272"/>
    </row>
    <row r="2273" spans="1:1" ht="18.75" customHeight="1">
      <c r="A2273"/>
    </row>
    <row r="2274" spans="1:1" ht="18.75" customHeight="1">
      <c r="A2274"/>
    </row>
    <row r="2275" spans="1:1" ht="18.75" customHeight="1">
      <c r="A2275"/>
    </row>
    <row r="2276" spans="1:1" ht="18.75" customHeight="1">
      <c r="A2276"/>
    </row>
    <row r="2277" spans="1:1" ht="18.75" customHeight="1">
      <c r="A2277"/>
    </row>
    <row r="2278" spans="1:1" ht="18.75" customHeight="1">
      <c r="A2278"/>
    </row>
    <row r="2279" spans="1:1" ht="18.75" customHeight="1">
      <c r="A2279"/>
    </row>
    <row r="2280" spans="1:1" ht="18.75" customHeight="1">
      <c r="A2280"/>
    </row>
    <row r="2281" spans="1:1" ht="18.75" customHeight="1">
      <c r="A2281"/>
    </row>
    <row r="2282" spans="1:1" ht="18.75" customHeight="1">
      <c r="A2282"/>
    </row>
    <row r="2283" spans="1:1" ht="18.75" customHeight="1">
      <c r="A2283"/>
    </row>
    <row r="2284" spans="1:1" ht="18.75" customHeight="1">
      <c r="A2284"/>
    </row>
    <row r="2285" spans="1:1" ht="18.75" customHeight="1">
      <c r="A2285"/>
    </row>
    <row r="2286" spans="1:1" ht="18.75" customHeight="1">
      <c r="A2286"/>
    </row>
    <row r="2287" spans="1:1" ht="18.75" customHeight="1">
      <c r="A2287"/>
    </row>
    <row r="2288" spans="1:1" ht="18.75" customHeight="1">
      <c r="A2288"/>
    </row>
    <row r="2289" spans="1:1" ht="18.75" customHeight="1">
      <c r="A2289"/>
    </row>
    <row r="2290" spans="1:1" ht="18.75" customHeight="1">
      <c r="A2290"/>
    </row>
    <row r="2291" spans="1:1" ht="18.75" customHeight="1">
      <c r="A2291"/>
    </row>
    <row r="2292" spans="1:1" ht="18.75" customHeight="1">
      <c r="A2292"/>
    </row>
    <row r="2293" spans="1:1" ht="18.75" customHeight="1">
      <c r="A2293"/>
    </row>
    <row r="2294" spans="1:1" ht="18.75" customHeight="1">
      <c r="A2294"/>
    </row>
    <row r="2295" spans="1:1" ht="18.75" customHeight="1">
      <c r="A2295"/>
    </row>
    <row r="2296" spans="1:1" ht="18.75" customHeight="1">
      <c r="A2296"/>
    </row>
    <row r="2297" spans="1:1" ht="18.75" customHeight="1">
      <c r="A2297"/>
    </row>
    <row r="2298" spans="1:1" ht="18.75" customHeight="1">
      <c r="A2298"/>
    </row>
    <row r="2299" spans="1:1" ht="18.75" customHeight="1">
      <c r="A2299"/>
    </row>
    <row r="2300" spans="1:1" ht="18.75" customHeight="1">
      <c r="A2300"/>
    </row>
    <row r="2301" spans="1:1" ht="18.75" customHeight="1">
      <c r="A2301"/>
    </row>
    <row r="2302" spans="1:1" ht="18.75" customHeight="1">
      <c r="A2302"/>
    </row>
    <row r="2303" spans="1:1" ht="18.75" customHeight="1">
      <c r="A2303"/>
    </row>
    <row r="2304" spans="1:1" ht="18.75" customHeight="1">
      <c r="A2304"/>
    </row>
    <row r="2305" spans="1:1" ht="18.75" customHeight="1">
      <c r="A2305"/>
    </row>
    <row r="2306" spans="1:1" ht="18.75" customHeight="1">
      <c r="A2306"/>
    </row>
    <row r="2307" spans="1:1" ht="18.75" customHeight="1">
      <c r="A2307"/>
    </row>
    <row r="2308" spans="1:1" ht="18.75" customHeight="1">
      <c r="A2308"/>
    </row>
    <row r="2309" spans="1:1" ht="18.75" customHeight="1">
      <c r="A2309"/>
    </row>
    <row r="2310" spans="1:1" ht="18.75" customHeight="1">
      <c r="A2310"/>
    </row>
    <row r="2311" spans="1:1" ht="18.75" customHeight="1">
      <c r="A2311"/>
    </row>
    <row r="2312" spans="1:1" ht="18.75" customHeight="1">
      <c r="A2312"/>
    </row>
    <row r="2313" spans="1:1" ht="18.75" customHeight="1">
      <c r="A2313"/>
    </row>
    <row r="2314" spans="1:1" ht="18.75" customHeight="1">
      <c r="A2314"/>
    </row>
    <row r="2315" spans="1:1" ht="18.75" customHeight="1">
      <c r="A2315"/>
    </row>
    <row r="2316" spans="1:1" ht="18.75" customHeight="1">
      <c r="A2316"/>
    </row>
    <row r="2317" spans="1:1" ht="18.75" customHeight="1">
      <c r="A2317"/>
    </row>
    <row r="2318" spans="1:1" ht="18.75" customHeight="1">
      <c r="A2318"/>
    </row>
    <row r="2319" spans="1:1" ht="18.75" customHeight="1">
      <c r="A2319"/>
    </row>
    <row r="2320" spans="1:1" ht="18.75" customHeight="1">
      <c r="A2320"/>
    </row>
    <row r="2321" spans="1:1" ht="18.75" customHeight="1">
      <c r="A2321"/>
    </row>
    <row r="2322" spans="1:1" ht="18.75" customHeight="1">
      <c r="A2322"/>
    </row>
    <row r="2323" spans="1:1" ht="18.75" customHeight="1">
      <c r="A2323"/>
    </row>
    <row r="2324" spans="1:1" ht="18.75" customHeight="1">
      <c r="A2324"/>
    </row>
    <row r="2325" spans="1:1" ht="18.75" customHeight="1">
      <c r="A2325"/>
    </row>
    <row r="2326" spans="1:1" ht="18.75" customHeight="1">
      <c r="A2326"/>
    </row>
    <row r="2327" spans="1:1" ht="18.75" customHeight="1">
      <c r="A2327"/>
    </row>
    <row r="2328" spans="1:1" ht="18.75" customHeight="1">
      <c r="A2328"/>
    </row>
    <row r="2329" spans="1:1" ht="18.75" customHeight="1">
      <c r="A2329"/>
    </row>
    <row r="2330" spans="1:1" ht="18.75" customHeight="1">
      <c r="A2330"/>
    </row>
    <row r="2331" spans="1:1" ht="18.75" customHeight="1">
      <c r="A2331"/>
    </row>
    <row r="2332" spans="1:1" ht="18.75" customHeight="1">
      <c r="A2332"/>
    </row>
    <row r="2333" spans="1:1" ht="18.75" customHeight="1">
      <c r="A2333"/>
    </row>
    <row r="2334" spans="1:1" ht="18.75" customHeight="1">
      <c r="A2334"/>
    </row>
    <row r="2335" spans="1:1" ht="18.75" customHeight="1">
      <c r="A2335"/>
    </row>
    <row r="2336" spans="1:1" ht="18.75" customHeight="1">
      <c r="A2336"/>
    </row>
    <row r="2337" spans="1:1" ht="18.75" customHeight="1">
      <c r="A2337"/>
    </row>
    <row r="2338" spans="1:1" ht="18.75" customHeight="1">
      <c r="A2338"/>
    </row>
    <row r="2339" spans="1:1" ht="18.75" customHeight="1">
      <c r="A2339"/>
    </row>
    <row r="2340" spans="1:1" ht="18.75" customHeight="1">
      <c r="A2340"/>
    </row>
    <row r="2341" spans="1:1" ht="18.75" customHeight="1">
      <c r="A2341"/>
    </row>
    <row r="2342" spans="1:1" ht="18.75" customHeight="1">
      <c r="A2342"/>
    </row>
    <row r="2343" spans="1:1" ht="18.75" customHeight="1">
      <c r="A2343"/>
    </row>
    <row r="2344" spans="1:1" ht="18.75" customHeight="1">
      <c r="A2344"/>
    </row>
    <row r="2345" spans="1:1" ht="18.75" customHeight="1">
      <c r="A2345"/>
    </row>
    <row r="2346" spans="1:1" ht="18.75" customHeight="1">
      <c r="A2346"/>
    </row>
    <row r="2347" spans="1:1" ht="18.75" customHeight="1">
      <c r="A2347"/>
    </row>
    <row r="2348" spans="1:1" ht="18.75" customHeight="1">
      <c r="A2348"/>
    </row>
    <row r="2349" spans="1:1" ht="18.75" customHeight="1">
      <c r="A2349"/>
    </row>
    <row r="2350" spans="1:1" ht="18.75" customHeight="1">
      <c r="A2350"/>
    </row>
    <row r="2351" spans="1:1" ht="18.75" customHeight="1">
      <c r="A2351"/>
    </row>
    <row r="2352" spans="1:1" ht="18.75" customHeight="1">
      <c r="A2352"/>
    </row>
    <row r="2353" spans="1:1" ht="18.75" customHeight="1">
      <c r="A2353"/>
    </row>
    <row r="2354" spans="1:1" ht="18.75" customHeight="1">
      <c r="A2354"/>
    </row>
    <row r="2355" spans="1:1" ht="18.75" customHeight="1">
      <c r="A2355"/>
    </row>
    <row r="2356" spans="1:1" ht="18.75" customHeight="1">
      <c r="A2356"/>
    </row>
    <row r="2357" spans="1:1" ht="18.75" customHeight="1">
      <c r="A2357"/>
    </row>
    <row r="2358" spans="1:1" ht="18.75" customHeight="1">
      <c r="A2358"/>
    </row>
    <row r="2359" spans="1:1" ht="18.75" customHeight="1">
      <c r="A2359"/>
    </row>
    <row r="2360" spans="1:1" ht="18.75" customHeight="1">
      <c r="A2360"/>
    </row>
    <row r="2361" spans="1:1" ht="18.75" customHeight="1">
      <c r="A2361"/>
    </row>
    <row r="2362" spans="1:1" ht="18.75" customHeight="1">
      <c r="A2362"/>
    </row>
    <row r="2363" spans="1:1" ht="18.75" customHeight="1">
      <c r="A2363"/>
    </row>
    <row r="2364" spans="1:1" ht="18.75" customHeight="1">
      <c r="A2364"/>
    </row>
    <row r="2365" spans="1:1" ht="18.75" customHeight="1">
      <c r="A2365"/>
    </row>
    <row r="2366" spans="1:1" ht="18.75" customHeight="1">
      <c r="A2366"/>
    </row>
    <row r="2367" spans="1:1" ht="18.75" customHeight="1">
      <c r="A2367"/>
    </row>
    <row r="2368" spans="1:1" ht="18.75" customHeight="1">
      <c r="A2368"/>
    </row>
    <row r="2369" spans="1:1" ht="18.75" customHeight="1">
      <c r="A2369"/>
    </row>
    <row r="2370" spans="1:1" ht="18.75" customHeight="1">
      <c r="A2370"/>
    </row>
    <row r="2371" spans="1:1" ht="18.75" customHeight="1">
      <c r="A2371"/>
    </row>
    <row r="2372" spans="1:1" ht="18.75" customHeight="1">
      <c r="A2372"/>
    </row>
    <row r="2373" spans="1:1" ht="18.75" customHeight="1">
      <c r="A2373"/>
    </row>
    <row r="2374" spans="1:1" ht="18.75" customHeight="1">
      <c r="A2374"/>
    </row>
    <row r="2375" spans="1:1" ht="18.75" customHeight="1">
      <c r="A2375"/>
    </row>
    <row r="2376" spans="1:1" ht="18.75" customHeight="1">
      <c r="A2376"/>
    </row>
    <row r="2377" spans="1:1" ht="18.75" customHeight="1">
      <c r="A2377"/>
    </row>
    <row r="2378" spans="1:1" ht="18.75" customHeight="1">
      <c r="A2378"/>
    </row>
    <row r="2379" spans="1:1" ht="18.75" customHeight="1">
      <c r="A2379"/>
    </row>
    <row r="2380" spans="1:1" ht="18.75" customHeight="1">
      <c r="A2380"/>
    </row>
    <row r="2381" spans="1:1" ht="18.75" customHeight="1">
      <c r="A2381"/>
    </row>
    <row r="2382" spans="1:1" ht="18.75" customHeight="1">
      <c r="A2382"/>
    </row>
    <row r="2383" spans="1:1" ht="18.75" customHeight="1">
      <c r="A2383"/>
    </row>
    <row r="2384" spans="1:1" ht="18.75" customHeight="1">
      <c r="A2384"/>
    </row>
    <row r="2385" spans="1:1" ht="18.75" customHeight="1">
      <c r="A2385"/>
    </row>
    <row r="2386" spans="1:1" ht="18.75" customHeight="1">
      <c r="A2386"/>
    </row>
    <row r="2387" spans="1:1" ht="18.75" customHeight="1">
      <c r="A2387"/>
    </row>
    <row r="2388" spans="1:1" ht="18.75" customHeight="1">
      <c r="A2388"/>
    </row>
    <row r="2389" spans="1:1" ht="18.75" customHeight="1">
      <c r="A2389"/>
    </row>
    <row r="2390" spans="1:1" ht="18.75" customHeight="1">
      <c r="A2390"/>
    </row>
    <row r="2391" spans="1:1" ht="18.75" customHeight="1">
      <c r="A2391"/>
    </row>
    <row r="2392" spans="1:1" ht="18.75" customHeight="1">
      <c r="A2392"/>
    </row>
    <row r="2393" spans="1:1" ht="18.75" customHeight="1">
      <c r="A2393"/>
    </row>
    <row r="2394" spans="1:1" ht="18.75" customHeight="1">
      <c r="A2394"/>
    </row>
    <row r="2395" spans="1:1" ht="18.75" customHeight="1">
      <c r="A2395"/>
    </row>
    <row r="2396" spans="1:1" ht="18.75" customHeight="1">
      <c r="A2396"/>
    </row>
    <row r="2397" spans="1:1" ht="18.75" customHeight="1">
      <c r="A2397"/>
    </row>
    <row r="2398" spans="1:1" ht="18.75" customHeight="1">
      <c r="A2398"/>
    </row>
    <row r="2399" spans="1:1" ht="18.75" customHeight="1">
      <c r="A2399"/>
    </row>
    <row r="2400" spans="1:1" ht="18.75" customHeight="1">
      <c r="A2400"/>
    </row>
    <row r="2401" spans="1:1" ht="18.75" customHeight="1">
      <c r="A2401"/>
    </row>
    <row r="2402" spans="1:1" ht="18.75" customHeight="1">
      <c r="A2402"/>
    </row>
    <row r="2403" spans="1:1" ht="18.75" customHeight="1">
      <c r="A2403"/>
    </row>
    <row r="2404" spans="1:1" ht="18.75" customHeight="1">
      <c r="A2404"/>
    </row>
    <row r="2405" spans="1:1" ht="18.75" customHeight="1">
      <c r="A2405"/>
    </row>
    <row r="2406" spans="1:1" ht="18.75" customHeight="1">
      <c r="A2406"/>
    </row>
    <row r="2407" spans="1:1" ht="18.75" customHeight="1">
      <c r="A2407"/>
    </row>
    <row r="2408" spans="1:1" ht="18.75" customHeight="1">
      <c r="A2408"/>
    </row>
    <row r="2409" spans="1:1" ht="18.75" customHeight="1">
      <c r="A2409"/>
    </row>
    <row r="2410" spans="1:1" ht="18.75" customHeight="1">
      <c r="A2410"/>
    </row>
    <row r="2411" spans="1:1" ht="18.75" customHeight="1">
      <c r="A2411"/>
    </row>
    <row r="2412" spans="1:1" ht="18.75" customHeight="1">
      <c r="A2412"/>
    </row>
    <row r="2413" spans="1:1" ht="18.75" customHeight="1">
      <c r="A2413"/>
    </row>
    <row r="2414" spans="1:1" ht="18.75" customHeight="1">
      <c r="A2414"/>
    </row>
    <row r="2415" spans="1:1" ht="18.75" customHeight="1">
      <c r="A2415"/>
    </row>
    <row r="2416" spans="1:1" ht="18.75" customHeight="1">
      <c r="A2416"/>
    </row>
    <row r="2417" spans="1:1" ht="18.75" customHeight="1">
      <c r="A2417"/>
    </row>
    <row r="2418" spans="1:1" ht="18.75" customHeight="1">
      <c r="A2418"/>
    </row>
    <row r="2419" spans="1:1" ht="18.75" customHeight="1">
      <c r="A2419"/>
    </row>
    <row r="2420" spans="1:1" ht="18.75" customHeight="1">
      <c r="A2420"/>
    </row>
    <row r="2421" spans="1:1" ht="18.75" customHeight="1">
      <c r="A2421"/>
    </row>
    <row r="2422" spans="1:1" ht="18.75" customHeight="1">
      <c r="A2422"/>
    </row>
    <row r="2423" spans="1:1" ht="18.75" customHeight="1">
      <c r="A2423"/>
    </row>
    <row r="2424" spans="1:1" ht="18.75" customHeight="1">
      <c r="A2424"/>
    </row>
    <row r="2425" spans="1:1" ht="18.75" customHeight="1">
      <c r="A2425"/>
    </row>
    <row r="2426" spans="1:1" ht="18.75" customHeight="1">
      <c r="A2426"/>
    </row>
    <row r="2427" spans="1:1" ht="18.75" customHeight="1">
      <c r="A2427"/>
    </row>
    <row r="2428" spans="1:1" ht="18.75" customHeight="1">
      <c r="A2428"/>
    </row>
    <row r="2429" spans="1:1" ht="18.75" customHeight="1">
      <c r="A2429"/>
    </row>
    <row r="2430" spans="1:1" ht="18.75" customHeight="1">
      <c r="A2430"/>
    </row>
    <row r="2431" spans="1:1" ht="18.75" customHeight="1">
      <c r="A2431"/>
    </row>
    <row r="2432" spans="1:1" ht="18.75" customHeight="1">
      <c r="A2432"/>
    </row>
    <row r="2433" spans="1:1" ht="18.75" customHeight="1">
      <c r="A2433"/>
    </row>
    <row r="2434" spans="1:1" ht="18.75" customHeight="1">
      <c r="A2434"/>
    </row>
    <row r="2435" spans="1:1" ht="18.75" customHeight="1">
      <c r="A2435"/>
    </row>
    <row r="2436" spans="1:1" ht="18.75" customHeight="1">
      <c r="A2436"/>
    </row>
    <row r="2437" spans="1:1" ht="18.75" customHeight="1">
      <c r="A2437"/>
    </row>
    <row r="2438" spans="1:1" ht="18.75" customHeight="1">
      <c r="A2438"/>
    </row>
    <row r="2439" spans="1:1" ht="18.75" customHeight="1">
      <c r="A2439"/>
    </row>
    <row r="2440" spans="1:1" ht="18.75" customHeight="1">
      <c r="A2440"/>
    </row>
    <row r="2441" spans="1:1" ht="18.75" customHeight="1">
      <c r="A2441"/>
    </row>
    <row r="2442" spans="1:1" ht="18.75" customHeight="1">
      <c r="A2442"/>
    </row>
    <row r="2443" spans="1:1" ht="18.75" customHeight="1">
      <c r="A2443"/>
    </row>
    <row r="2444" spans="1:1" ht="18.75" customHeight="1">
      <c r="A2444"/>
    </row>
    <row r="2445" spans="1:1" ht="18.75" customHeight="1">
      <c r="A2445"/>
    </row>
    <row r="2446" spans="1:1" ht="18.75" customHeight="1">
      <c r="A2446"/>
    </row>
    <row r="2447" spans="1:1" ht="18.75" customHeight="1">
      <c r="A2447"/>
    </row>
    <row r="2448" spans="1:1" ht="18.75" customHeight="1">
      <c r="A2448"/>
    </row>
    <row r="2449" spans="1:1" ht="18.75" customHeight="1">
      <c r="A2449"/>
    </row>
    <row r="2450" spans="1:1" ht="18.75" customHeight="1">
      <c r="A2450"/>
    </row>
    <row r="2451" spans="1:1" ht="18.75" customHeight="1">
      <c r="A2451"/>
    </row>
    <row r="2452" spans="1:1" ht="18.75" customHeight="1">
      <c r="A2452"/>
    </row>
    <row r="2453" spans="1:1" ht="18.75" customHeight="1">
      <c r="A2453"/>
    </row>
    <row r="2454" spans="1:1" ht="18.75" customHeight="1">
      <c r="A2454"/>
    </row>
    <row r="2455" spans="1:1" ht="18.75" customHeight="1">
      <c r="A2455"/>
    </row>
    <row r="2456" spans="1:1" ht="18.75" customHeight="1">
      <c r="A2456"/>
    </row>
    <row r="2457" spans="1:1" ht="18.75" customHeight="1">
      <c r="A2457"/>
    </row>
    <row r="2458" spans="1:1" ht="18.75" customHeight="1">
      <c r="A2458"/>
    </row>
    <row r="2459" spans="1:1" ht="18.75" customHeight="1">
      <c r="A2459"/>
    </row>
    <row r="2460" spans="1:1" ht="18.75" customHeight="1">
      <c r="A2460"/>
    </row>
    <row r="2461" spans="1:1" ht="18.75" customHeight="1">
      <c r="A2461"/>
    </row>
    <row r="2462" spans="1:1" ht="18.75" customHeight="1">
      <c r="A2462"/>
    </row>
    <row r="2463" spans="1:1" ht="18.75" customHeight="1">
      <c r="A2463"/>
    </row>
    <row r="2464" spans="1:1" ht="18.75" customHeight="1">
      <c r="A2464"/>
    </row>
    <row r="2465" spans="1:1" ht="18.75" customHeight="1">
      <c r="A2465"/>
    </row>
    <row r="2466" spans="1:1" ht="18.75" customHeight="1">
      <c r="A2466"/>
    </row>
    <row r="2467" spans="1:1" ht="18.75" customHeight="1">
      <c r="A2467"/>
    </row>
    <row r="2468" spans="1:1" ht="18.75" customHeight="1">
      <c r="A2468"/>
    </row>
    <row r="2469" spans="1:1" ht="18.75" customHeight="1">
      <c r="A2469"/>
    </row>
    <row r="2470" spans="1:1" ht="18.75" customHeight="1">
      <c r="A2470"/>
    </row>
    <row r="2471" spans="1:1" ht="18.75" customHeight="1">
      <c r="A2471"/>
    </row>
    <row r="2472" spans="1:1" ht="18.75" customHeight="1">
      <c r="A2472"/>
    </row>
    <row r="2473" spans="1:1" ht="18.75" customHeight="1">
      <c r="A2473"/>
    </row>
    <row r="2474" spans="1:1" ht="18.75" customHeight="1">
      <c r="A2474"/>
    </row>
    <row r="2475" spans="1:1" ht="18.75" customHeight="1">
      <c r="A2475"/>
    </row>
    <row r="2476" spans="1:1" ht="18.75" customHeight="1">
      <c r="A2476"/>
    </row>
    <row r="2477" spans="1:1" ht="18.75" customHeight="1">
      <c r="A2477"/>
    </row>
    <row r="2478" spans="1:1" ht="18.75" customHeight="1">
      <c r="A2478"/>
    </row>
    <row r="2479" spans="1:1" ht="18.75" customHeight="1">
      <c r="A2479"/>
    </row>
    <row r="2480" spans="1:1" ht="18.75" customHeight="1">
      <c r="A2480"/>
    </row>
    <row r="2481" spans="1:1" ht="18.75" customHeight="1">
      <c r="A2481"/>
    </row>
    <row r="2482" spans="1:1" ht="18.75" customHeight="1">
      <c r="A2482"/>
    </row>
    <row r="2483" spans="1:1" ht="18.75" customHeight="1">
      <c r="A2483"/>
    </row>
    <row r="2484" spans="1:1" ht="18.75" customHeight="1">
      <c r="A2484"/>
    </row>
    <row r="2485" spans="1:1" ht="18.75" customHeight="1">
      <c r="A2485"/>
    </row>
    <row r="2486" spans="1:1" ht="18.75" customHeight="1">
      <c r="A2486"/>
    </row>
    <row r="2487" spans="1:1" ht="18.75" customHeight="1">
      <c r="A2487"/>
    </row>
    <row r="2488" spans="1:1" ht="18.75" customHeight="1">
      <c r="A2488"/>
    </row>
    <row r="2489" spans="1:1" ht="18.75" customHeight="1">
      <c r="A2489"/>
    </row>
    <row r="2490" spans="1:1" ht="18.75" customHeight="1">
      <c r="A2490"/>
    </row>
    <row r="2491" spans="1:1" ht="18.75" customHeight="1">
      <c r="A2491"/>
    </row>
    <row r="2492" spans="1:1" ht="18.75" customHeight="1">
      <c r="A2492"/>
    </row>
    <row r="2493" spans="1:1" ht="18.75" customHeight="1">
      <c r="A2493"/>
    </row>
    <row r="2494" spans="1:1" ht="18.75" customHeight="1">
      <c r="A2494"/>
    </row>
    <row r="2495" spans="1:1" ht="18.75" customHeight="1">
      <c r="A2495"/>
    </row>
    <row r="2496" spans="1:1" ht="18.75" customHeight="1">
      <c r="A2496"/>
    </row>
    <row r="2497" spans="1:1" ht="18.75" customHeight="1">
      <c r="A2497"/>
    </row>
    <row r="2498" spans="1:1" ht="18.75" customHeight="1">
      <c r="A2498"/>
    </row>
    <row r="2499" spans="1:1" ht="18.75" customHeight="1">
      <c r="A2499"/>
    </row>
    <row r="2500" spans="1:1" ht="18.75" customHeight="1">
      <c r="A2500"/>
    </row>
    <row r="2501" spans="1:1" ht="18.75" customHeight="1">
      <c r="A2501"/>
    </row>
    <row r="2502" spans="1:1" ht="18.75" customHeight="1">
      <c r="A2502"/>
    </row>
    <row r="2503" spans="1:1" ht="18.75" customHeight="1">
      <c r="A2503"/>
    </row>
    <row r="2504" spans="1:1" ht="18.75" customHeight="1">
      <c r="A2504"/>
    </row>
    <row r="2505" spans="1:1" ht="18.75" customHeight="1">
      <c r="A2505"/>
    </row>
    <row r="2506" spans="1:1" ht="18.75" customHeight="1">
      <c r="A2506"/>
    </row>
    <row r="2507" spans="1:1" ht="18.75" customHeight="1">
      <c r="A2507"/>
    </row>
    <row r="2508" spans="1:1" ht="18.75" customHeight="1">
      <c r="A2508"/>
    </row>
    <row r="2509" spans="1:1" ht="18.75" customHeight="1">
      <c r="A2509"/>
    </row>
    <row r="2510" spans="1:1" ht="18.75" customHeight="1">
      <c r="A2510"/>
    </row>
    <row r="2511" spans="1:1" ht="18.75" customHeight="1">
      <c r="A2511"/>
    </row>
    <row r="2512" spans="1:1" ht="18.75" customHeight="1">
      <c r="A2512"/>
    </row>
    <row r="2513" spans="1:1" ht="18.75" customHeight="1">
      <c r="A2513"/>
    </row>
    <row r="2514" spans="1:1" ht="18.75" customHeight="1">
      <c r="A2514"/>
    </row>
    <row r="2515" spans="1:1" ht="18.75" customHeight="1">
      <c r="A2515"/>
    </row>
    <row r="2516" spans="1:1" ht="18.75" customHeight="1">
      <c r="A2516"/>
    </row>
    <row r="2517" spans="1:1" ht="18.75" customHeight="1">
      <c r="A2517"/>
    </row>
    <row r="2518" spans="1:1" ht="18.75" customHeight="1">
      <c r="A2518"/>
    </row>
    <row r="2519" spans="1:1" ht="18.75" customHeight="1">
      <c r="A2519"/>
    </row>
    <row r="2520" spans="1:1" ht="18.75" customHeight="1">
      <c r="A2520"/>
    </row>
    <row r="2521" spans="1:1" ht="18.75" customHeight="1">
      <c r="A2521"/>
    </row>
    <row r="2522" spans="1:1" ht="18.75" customHeight="1">
      <c r="A2522"/>
    </row>
    <row r="2523" spans="1:1" ht="18.75" customHeight="1">
      <c r="A2523"/>
    </row>
    <row r="2524" spans="1:1" ht="18.75" customHeight="1">
      <c r="A2524"/>
    </row>
    <row r="2525" spans="1:1" ht="18.75" customHeight="1">
      <c r="A2525"/>
    </row>
    <row r="2526" spans="1:1" ht="18.75" customHeight="1">
      <c r="A2526"/>
    </row>
    <row r="2527" spans="1:1" ht="18.75" customHeight="1">
      <c r="A2527"/>
    </row>
    <row r="2528" spans="1:1" ht="18.75" customHeight="1">
      <c r="A2528"/>
    </row>
    <row r="2529" spans="1:1" ht="18.75" customHeight="1">
      <c r="A2529"/>
    </row>
    <row r="2530" spans="1:1" ht="18.75" customHeight="1">
      <c r="A2530"/>
    </row>
    <row r="2531" spans="1:1" ht="18.75" customHeight="1">
      <c r="A2531"/>
    </row>
    <row r="2532" spans="1:1" ht="18.75" customHeight="1">
      <c r="A2532"/>
    </row>
    <row r="2533" spans="1:1" ht="18.75" customHeight="1">
      <c r="A2533"/>
    </row>
    <row r="2534" spans="1:1" ht="18.75" customHeight="1">
      <c r="A2534"/>
    </row>
    <row r="2535" spans="1:1" ht="18.75" customHeight="1">
      <c r="A2535"/>
    </row>
    <row r="2536" spans="1:1" ht="18.75" customHeight="1">
      <c r="A2536"/>
    </row>
    <row r="2537" spans="1:1" ht="18.75" customHeight="1">
      <c r="A2537"/>
    </row>
    <row r="2538" spans="1:1" ht="18.75" customHeight="1">
      <c r="A2538"/>
    </row>
    <row r="2539" spans="1:1" ht="18.75" customHeight="1">
      <c r="A2539"/>
    </row>
    <row r="2540" spans="1:1" ht="18.75" customHeight="1">
      <c r="A2540"/>
    </row>
    <row r="2541" spans="1:1" ht="18.75" customHeight="1">
      <c r="A2541"/>
    </row>
    <row r="2542" spans="1:1" ht="18.75" customHeight="1">
      <c r="A2542"/>
    </row>
    <row r="2543" spans="1:1" ht="18.75" customHeight="1">
      <c r="A2543"/>
    </row>
    <row r="2544" spans="1:1" ht="18.75" customHeight="1">
      <c r="A2544"/>
    </row>
    <row r="2545" spans="1:1" ht="18.75" customHeight="1">
      <c r="A2545"/>
    </row>
    <row r="2546" spans="1:1" ht="18.75" customHeight="1">
      <c r="A2546"/>
    </row>
    <row r="2547" spans="1:1" ht="18.75" customHeight="1">
      <c r="A2547"/>
    </row>
    <row r="2548" spans="1:1" ht="18.75" customHeight="1">
      <c r="A2548"/>
    </row>
    <row r="2549" spans="1:1" ht="18.75" customHeight="1">
      <c r="A2549"/>
    </row>
    <row r="2550" spans="1:1" ht="18.75" customHeight="1">
      <c r="A2550"/>
    </row>
    <row r="2551" spans="1:1" ht="18.75" customHeight="1">
      <c r="A2551"/>
    </row>
    <row r="2552" spans="1:1" ht="18.75" customHeight="1">
      <c r="A2552"/>
    </row>
    <row r="2553" spans="1:1" ht="18.75" customHeight="1">
      <c r="A2553"/>
    </row>
    <row r="2554" spans="1:1" ht="18.75" customHeight="1">
      <c r="A2554"/>
    </row>
    <row r="2555" spans="1:1" ht="18.75" customHeight="1">
      <c r="A2555"/>
    </row>
    <row r="2556" spans="1:1" ht="18.75" customHeight="1">
      <c r="A2556"/>
    </row>
    <row r="2557" spans="1:1" ht="18.75" customHeight="1">
      <c r="A2557"/>
    </row>
    <row r="2558" spans="1:1" ht="18.75" customHeight="1">
      <c r="A2558"/>
    </row>
    <row r="2559" spans="1:1" ht="18.75" customHeight="1">
      <c r="A2559"/>
    </row>
    <row r="2560" spans="1:1" ht="18.75" customHeight="1">
      <c r="A2560"/>
    </row>
    <row r="2561" spans="1:1" ht="18.75" customHeight="1">
      <c r="A2561"/>
    </row>
    <row r="2562" spans="1:1" ht="18.75" customHeight="1">
      <c r="A2562"/>
    </row>
    <row r="2563" spans="1:1" ht="18.75" customHeight="1">
      <c r="A2563"/>
    </row>
    <row r="2564" spans="1:1" ht="18.75" customHeight="1">
      <c r="A2564"/>
    </row>
    <row r="2565" spans="1:1" ht="18.75" customHeight="1">
      <c r="A2565"/>
    </row>
    <row r="2566" spans="1:1" ht="18.75" customHeight="1">
      <c r="A2566"/>
    </row>
    <row r="2567" spans="1:1" ht="18.75" customHeight="1">
      <c r="A2567"/>
    </row>
    <row r="2568" spans="1:1" ht="18.75" customHeight="1">
      <c r="A2568"/>
    </row>
    <row r="2569" spans="1:1" ht="18.75" customHeight="1">
      <c r="A2569"/>
    </row>
    <row r="2570" spans="1:1" ht="18.75" customHeight="1">
      <c r="A2570"/>
    </row>
    <row r="2571" spans="1:1" ht="18.75" customHeight="1">
      <c r="A2571"/>
    </row>
    <row r="2572" spans="1:1" ht="18.75" customHeight="1">
      <c r="A2572"/>
    </row>
    <row r="2573" spans="1:1" ht="18.75" customHeight="1">
      <c r="A2573"/>
    </row>
    <row r="2574" spans="1:1" ht="18.75" customHeight="1">
      <c r="A2574"/>
    </row>
    <row r="2575" spans="1:1" ht="18.75" customHeight="1">
      <c r="A2575"/>
    </row>
    <row r="2576" spans="1:1" ht="18.75" customHeight="1">
      <c r="A2576"/>
    </row>
    <row r="2577" spans="1:1" ht="18.75" customHeight="1">
      <c r="A2577"/>
    </row>
    <row r="2578" spans="1:1" ht="18.75" customHeight="1">
      <c r="A2578"/>
    </row>
    <row r="2579" spans="1:1" ht="18.75" customHeight="1">
      <c r="A2579"/>
    </row>
    <row r="2580" spans="1:1" ht="18.75" customHeight="1">
      <c r="A2580"/>
    </row>
    <row r="2581" spans="1:1" ht="18.75" customHeight="1">
      <c r="A2581"/>
    </row>
    <row r="2582" spans="1:1" ht="18.75" customHeight="1">
      <c r="A2582"/>
    </row>
    <row r="2583" spans="1:1" ht="18.75" customHeight="1">
      <c r="A2583"/>
    </row>
    <row r="2584" spans="1:1" ht="18.75" customHeight="1">
      <c r="A2584"/>
    </row>
    <row r="2585" spans="1:1" ht="18.75" customHeight="1">
      <c r="A2585"/>
    </row>
    <row r="2586" spans="1:1" ht="18.75" customHeight="1">
      <c r="A2586"/>
    </row>
    <row r="2587" spans="1:1" ht="18.75" customHeight="1">
      <c r="A2587"/>
    </row>
    <row r="2588" spans="1:1" ht="18.75" customHeight="1">
      <c r="A2588"/>
    </row>
    <row r="2589" spans="1:1" ht="18.75" customHeight="1">
      <c r="A2589"/>
    </row>
    <row r="2590" spans="1:1" ht="18.75" customHeight="1">
      <c r="A2590"/>
    </row>
    <row r="2591" spans="1:1" ht="18.75" customHeight="1">
      <c r="A2591"/>
    </row>
    <row r="2592" spans="1:1" ht="18.75" customHeight="1">
      <c r="A2592"/>
    </row>
    <row r="2593" spans="1:1" ht="18.75" customHeight="1">
      <c r="A2593"/>
    </row>
    <row r="2594" spans="1:1" ht="18.75" customHeight="1">
      <c r="A2594"/>
    </row>
    <row r="2595" spans="1:1" ht="18.75" customHeight="1">
      <c r="A2595"/>
    </row>
    <row r="2596" spans="1:1" ht="18.75" customHeight="1">
      <c r="A2596"/>
    </row>
    <row r="2597" spans="1:1" ht="18.75" customHeight="1">
      <c r="A2597"/>
    </row>
    <row r="2598" spans="1:1" ht="18.75" customHeight="1">
      <c r="A2598"/>
    </row>
    <row r="2599" spans="1:1" ht="18.75" customHeight="1">
      <c r="A2599"/>
    </row>
    <row r="2600" spans="1:1" ht="18.75" customHeight="1">
      <c r="A2600"/>
    </row>
    <row r="2601" spans="1:1" ht="18.75" customHeight="1">
      <c r="A2601"/>
    </row>
    <row r="2602" spans="1:1" ht="18.75" customHeight="1">
      <c r="A2602"/>
    </row>
    <row r="2603" spans="1:1" ht="18.75" customHeight="1">
      <c r="A2603"/>
    </row>
    <row r="2604" spans="1:1" ht="18.75" customHeight="1">
      <c r="A2604"/>
    </row>
    <row r="2605" spans="1:1" ht="18.75" customHeight="1">
      <c r="A2605"/>
    </row>
    <row r="2606" spans="1:1" ht="18.75" customHeight="1">
      <c r="A2606"/>
    </row>
    <row r="2607" spans="1:1" ht="18.75" customHeight="1">
      <c r="A2607"/>
    </row>
    <row r="2608" spans="1:1" ht="18.75" customHeight="1">
      <c r="A2608"/>
    </row>
    <row r="2609" spans="1:1" ht="18.75" customHeight="1">
      <c r="A2609"/>
    </row>
    <row r="2610" spans="1:1" ht="18.75" customHeight="1">
      <c r="A2610"/>
    </row>
    <row r="2611" spans="1:1" ht="18.75" customHeight="1">
      <c r="A2611"/>
    </row>
    <row r="2612" spans="1:1" ht="18.75" customHeight="1">
      <c r="A2612"/>
    </row>
    <row r="2613" spans="1:1" ht="18.75" customHeight="1">
      <c r="A2613"/>
    </row>
    <row r="2614" spans="1:1" ht="18.75" customHeight="1">
      <c r="A2614"/>
    </row>
    <row r="2615" spans="1:1" ht="18.75" customHeight="1">
      <c r="A2615"/>
    </row>
    <row r="2616" spans="1:1" ht="18.75" customHeight="1">
      <c r="A2616"/>
    </row>
    <row r="2617" spans="1:1" ht="18.75" customHeight="1">
      <c r="A2617"/>
    </row>
    <row r="2618" spans="1:1" ht="18.75" customHeight="1">
      <c r="A2618"/>
    </row>
    <row r="2619" spans="1:1" ht="18.75" customHeight="1">
      <c r="A2619"/>
    </row>
    <row r="2620" spans="1:1" ht="18.75" customHeight="1">
      <c r="A2620"/>
    </row>
    <row r="2621" spans="1:1" ht="18.75" customHeight="1">
      <c r="A2621"/>
    </row>
    <row r="2622" spans="1:1" ht="18.75" customHeight="1">
      <c r="A2622"/>
    </row>
    <row r="2623" spans="1:1" ht="18.75" customHeight="1">
      <c r="A2623"/>
    </row>
    <row r="2624" spans="1:1" ht="18.75" customHeight="1">
      <c r="A2624"/>
    </row>
    <row r="2625" spans="1:1" ht="18.75" customHeight="1">
      <c r="A2625"/>
    </row>
    <row r="2626" spans="1:1" ht="18.75" customHeight="1">
      <c r="A2626"/>
    </row>
    <row r="2627" spans="1:1" ht="18.75" customHeight="1">
      <c r="A2627"/>
    </row>
    <row r="2628" spans="1:1" ht="18.75" customHeight="1">
      <c r="A2628"/>
    </row>
    <row r="2629" spans="1:1" ht="18.75" customHeight="1">
      <c r="A2629"/>
    </row>
    <row r="2630" spans="1:1" ht="18.75" customHeight="1">
      <c r="A2630"/>
    </row>
    <row r="2631" spans="1:1" ht="18.75" customHeight="1">
      <c r="A2631"/>
    </row>
    <row r="2632" spans="1:1" ht="18.75" customHeight="1">
      <c r="A2632"/>
    </row>
    <row r="2633" spans="1:1" ht="18.75" customHeight="1">
      <c r="A2633"/>
    </row>
    <row r="2634" spans="1:1" ht="18.75" customHeight="1">
      <c r="A2634"/>
    </row>
    <row r="2635" spans="1:1" ht="18.75" customHeight="1">
      <c r="A2635"/>
    </row>
    <row r="2636" spans="1:1" ht="18.75" customHeight="1">
      <c r="A2636"/>
    </row>
    <row r="2637" spans="1:1" ht="18.75" customHeight="1">
      <c r="A2637"/>
    </row>
    <row r="2638" spans="1:1" ht="18.75" customHeight="1">
      <c r="A2638"/>
    </row>
    <row r="2639" spans="1:1" ht="18.75" customHeight="1">
      <c r="A2639"/>
    </row>
    <row r="2640" spans="1:1" ht="18.75" customHeight="1">
      <c r="A2640"/>
    </row>
    <row r="2641" spans="1:1" ht="18.75" customHeight="1">
      <c r="A2641"/>
    </row>
    <row r="2642" spans="1:1" ht="18.75" customHeight="1">
      <c r="A2642"/>
    </row>
    <row r="2643" spans="1:1" ht="18.75" customHeight="1">
      <c r="A2643"/>
    </row>
    <row r="2644" spans="1:1" ht="18.75" customHeight="1">
      <c r="A2644"/>
    </row>
    <row r="2645" spans="1:1" ht="18.75" customHeight="1">
      <c r="A2645"/>
    </row>
    <row r="2646" spans="1:1" ht="18.75" customHeight="1">
      <c r="A2646"/>
    </row>
    <row r="2647" spans="1:1" ht="18.75" customHeight="1">
      <c r="A2647"/>
    </row>
    <row r="2648" spans="1:1" ht="18.75" customHeight="1">
      <c r="A2648"/>
    </row>
    <row r="2649" spans="1:1" ht="18.75" customHeight="1">
      <c r="A2649"/>
    </row>
    <row r="2650" spans="1:1" ht="18.75" customHeight="1">
      <c r="A2650"/>
    </row>
    <row r="2651" spans="1:1" ht="18.75" customHeight="1">
      <c r="A2651"/>
    </row>
    <row r="2652" spans="1:1" ht="18.75" customHeight="1">
      <c r="A2652"/>
    </row>
    <row r="2653" spans="1:1" ht="18.75" customHeight="1">
      <c r="A2653"/>
    </row>
    <row r="2654" spans="1:1" ht="18.75" customHeight="1">
      <c r="A2654"/>
    </row>
    <row r="2655" spans="1:1" ht="18.75" customHeight="1">
      <c r="A2655"/>
    </row>
    <row r="2656" spans="1:1" ht="18.75" customHeight="1">
      <c r="A2656"/>
    </row>
    <row r="2657" spans="1:1" ht="18.75" customHeight="1">
      <c r="A2657"/>
    </row>
    <row r="2658" spans="1:1" ht="18.75" customHeight="1">
      <c r="A2658"/>
    </row>
    <row r="2659" spans="1:1" ht="18.75" customHeight="1">
      <c r="A2659"/>
    </row>
    <row r="2660" spans="1:1" ht="18.75" customHeight="1">
      <c r="A2660"/>
    </row>
    <row r="2661" spans="1:1" ht="18.75" customHeight="1">
      <c r="A2661"/>
    </row>
    <row r="2662" spans="1:1" ht="18.75" customHeight="1">
      <c r="A2662"/>
    </row>
    <row r="2663" spans="1:1" ht="18.75" customHeight="1">
      <c r="A2663"/>
    </row>
    <row r="2664" spans="1:1" ht="18.75" customHeight="1">
      <c r="A2664"/>
    </row>
    <row r="2665" spans="1:1" ht="18.75" customHeight="1">
      <c r="A2665"/>
    </row>
    <row r="2666" spans="1:1" ht="18.75" customHeight="1">
      <c r="A2666"/>
    </row>
    <row r="2667" spans="1:1" ht="18.75" customHeight="1">
      <c r="A2667"/>
    </row>
    <row r="2668" spans="1:1" ht="18.75" customHeight="1">
      <c r="A2668"/>
    </row>
    <row r="2669" spans="1:1" ht="18.75" customHeight="1">
      <c r="A2669"/>
    </row>
    <row r="2670" spans="1:1" ht="18.75" customHeight="1">
      <c r="A2670"/>
    </row>
    <row r="2671" spans="1:1" ht="18.75" customHeight="1">
      <c r="A2671"/>
    </row>
    <row r="2672" spans="1:1" ht="18.75" customHeight="1">
      <c r="A2672"/>
    </row>
    <row r="2673" spans="1:1" ht="18.75" customHeight="1">
      <c r="A2673"/>
    </row>
    <row r="2674" spans="1:1" ht="18.75" customHeight="1">
      <c r="A2674"/>
    </row>
    <row r="2675" spans="1:1" ht="18.75" customHeight="1">
      <c r="A2675"/>
    </row>
    <row r="2676" spans="1:1" ht="18.75" customHeight="1">
      <c r="A2676"/>
    </row>
    <row r="2677" spans="1:1" ht="18.75" customHeight="1">
      <c r="A2677"/>
    </row>
    <row r="2678" spans="1:1" ht="18.75" customHeight="1">
      <c r="A2678"/>
    </row>
    <row r="2679" spans="1:1" ht="18.75" customHeight="1">
      <c r="A2679"/>
    </row>
    <row r="2680" spans="1:1" ht="18.75" customHeight="1">
      <c r="A2680"/>
    </row>
    <row r="2681" spans="1:1" ht="18.75" customHeight="1">
      <c r="A2681"/>
    </row>
    <row r="2682" spans="1:1" ht="18.75" customHeight="1">
      <c r="A2682"/>
    </row>
    <row r="2683" spans="1:1" ht="18.75" customHeight="1">
      <c r="A2683"/>
    </row>
    <row r="2684" spans="1:1" ht="18.75" customHeight="1">
      <c r="A2684"/>
    </row>
    <row r="2685" spans="1:1" ht="18.75" customHeight="1">
      <c r="A2685"/>
    </row>
    <row r="2686" spans="1:1" ht="18.75" customHeight="1">
      <c r="A2686"/>
    </row>
    <row r="2687" spans="1:1" ht="18.75" customHeight="1">
      <c r="A2687"/>
    </row>
    <row r="2688" spans="1:1" ht="18.75" customHeight="1">
      <c r="A2688"/>
    </row>
    <row r="2689" spans="1:1" ht="18.75" customHeight="1">
      <c r="A2689"/>
    </row>
    <row r="2690" spans="1:1" ht="18.75" customHeight="1">
      <c r="A2690"/>
    </row>
    <row r="2691" spans="1:1" ht="18.75" customHeight="1">
      <c r="A2691"/>
    </row>
    <row r="2692" spans="1:1" ht="18.75" customHeight="1">
      <c r="A2692"/>
    </row>
    <row r="2693" spans="1:1" ht="18.75" customHeight="1">
      <c r="A2693"/>
    </row>
    <row r="2694" spans="1:1" ht="18.75" customHeight="1">
      <c r="A2694"/>
    </row>
    <row r="2695" spans="1:1" ht="18.75" customHeight="1">
      <c r="A2695"/>
    </row>
    <row r="2696" spans="1:1" ht="18.75" customHeight="1">
      <c r="A2696"/>
    </row>
    <row r="2697" spans="1:1" ht="18.75" customHeight="1">
      <c r="A2697"/>
    </row>
    <row r="2698" spans="1:1" ht="18.75" customHeight="1">
      <c r="A2698"/>
    </row>
    <row r="2699" spans="1:1" ht="18.75" customHeight="1">
      <c r="A2699"/>
    </row>
    <row r="2700" spans="1:1" ht="18.75" customHeight="1">
      <c r="A2700"/>
    </row>
    <row r="2701" spans="1:1" ht="18.75" customHeight="1">
      <c r="A2701"/>
    </row>
    <row r="2702" spans="1:1" ht="18.75" customHeight="1">
      <c r="A2702"/>
    </row>
    <row r="2703" spans="1:1" ht="18.75" customHeight="1">
      <c r="A2703"/>
    </row>
    <row r="2704" spans="1:1" ht="18.75" customHeight="1">
      <c r="A2704"/>
    </row>
    <row r="2705" spans="1:1" ht="18.75" customHeight="1">
      <c r="A2705"/>
    </row>
    <row r="2706" spans="1:1" ht="18.75" customHeight="1">
      <c r="A2706"/>
    </row>
    <row r="2707" spans="1:1" ht="18.75" customHeight="1">
      <c r="A2707"/>
    </row>
    <row r="2708" spans="1:1" ht="18.75" customHeight="1">
      <c r="A2708"/>
    </row>
    <row r="2709" spans="1:1" ht="18.75" customHeight="1">
      <c r="A2709"/>
    </row>
    <row r="2710" spans="1:1" ht="18.75" customHeight="1">
      <c r="A2710"/>
    </row>
    <row r="2711" spans="1:1" ht="18.75" customHeight="1">
      <c r="A2711"/>
    </row>
    <row r="2712" spans="1:1" ht="18.75" customHeight="1">
      <c r="A2712"/>
    </row>
    <row r="2713" spans="1:1" ht="18.75" customHeight="1">
      <c r="A2713"/>
    </row>
    <row r="2714" spans="1:1" ht="18.75" customHeight="1">
      <c r="A2714"/>
    </row>
    <row r="2715" spans="1:1" ht="18.75" customHeight="1">
      <c r="A2715"/>
    </row>
    <row r="2716" spans="1:1" ht="18.75" customHeight="1">
      <c r="A2716"/>
    </row>
    <row r="2717" spans="1:1" ht="18.75" customHeight="1">
      <c r="A2717"/>
    </row>
    <row r="2718" spans="1:1" ht="18.75" customHeight="1">
      <c r="A2718"/>
    </row>
    <row r="2719" spans="1:1" ht="18.75" customHeight="1">
      <c r="A2719"/>
    </row>
    <row r="2720" spans="1:1" ht="18.75" customHeight="1">
      <c r="A2720"/>
    </row>
    <row r="2721" spans="1:1" ht="18.75" customHeight="1">
      <c r="A2721"/>
    </row>
    <row r="2722" spans="1:1" ht="18.75" customHeight="1">
      <c r="A2722"/>
    </row>
    <row r="2723" spans="1:1" ht="18.75" customHeight="1">
      <c r="A2723"/>
    </row>
    <row r="2724" spans="1:1" ht="18.75" customHeight="1">
      <c r="A2724"/>
    </row>
    <row r="2725" spans="1:1" ht="18.75" customHeight="1">
      <c r="A2725"/>
    </row>
    <row r="2726" spans="1:1" ht="18.75" customHeight="1">
      <c r="A2726"/>
    </row>
    <row r="2727" spans="1:1" ht="18.75" customHeight="1">
      <c r="A2727"/>
    </row>
    <row r="2728" spans="1:1" ht="18.75" customHeight="1">
      <c r="A2728"/>
    </row>
    <row r="2729" spans="1:1" ht="18.75" customHeight="1">
      <c r="A2729"/>
    </row>
    <row r="2730" spans="1:1" ht="18.75" customHeight="1">
      <c r="A2730"/>
    </row>
    <row r="2731" spans="1:1" ht="18.75" customHeight="1">
      <c r="A2731"/>
    </row>
    <row r="2732" spans="1:1" ht="18.75" customHeight="1">
      <c r="A2732"/>
    </row>
    <row r="2733" spans="1:1" ht="18.75" customHeight="1">
      <c r="A2733"/>
    </row>
    <row r="2734" spans="1:1" ht="18.75" customHeight="1">
      <c r="A2734"/>
    </row>
    <row r="2735" spans="1:1" ht="18.75" customHeight="1">
      <c r="A2735"/>
    </row>
    <row r="2736" spans="1:1" ht="18.75" customHeight="1">
      <c r="A2736"/>
    </row>
    <row r="2737" spans="1:1" ht="18.75" customHeight="1">
      <c r="A2737"/>
    </row>
    <row r="2738" spans="1:1" ht="18.75" customHeight="1">
      <c r="A2738"/>
    </row>
    <row r="2739" spans="1:1" ht="18.75" customHeight="1">
      <c r="A2739"/>
    </row>
    <row r="2740" spans="1:1" ht="18.75" customHeight="1">
      <c r="A2740"/>
    </row>
    <row r="2741" spans="1:1" ht="18.75" customHeight="1">
      <c r="A2741"/>
    </row>
    <row r="2742" spans="1:1" ht="18.75" customHeight="1">
      <c r="A2742"/>
    </row>
    <row r="2743" spans="1:1" ht="18.75" customHeight="1">
      <c r="A2743"/>
    </row>
    <row r="2744" spans="1:1" ht="18.75" customHeight="1">
      <c r="A2744"/>
    </row>
    <row r="2745" spans="1:1" ht="18.75" customHeight="1">
      <c r="A2745"/>
    </row>
    <row r="2746" spans="1:1" ht="18.75" customHeight="1">
      <c r="A2746"/>
    </row>
    <row r="2747" spans="1:1" ht="18.75" customHeight="1">
      <c r="A2747"/>
    </row>
    <row r="2748" spans="1:1" ht="18.75" customHeight="1">
      <c r="A2748"/>
    </row>
    <row r="2749" spans="1:1" ht="18.75" customHeight="1">
      <c r="A2749"/>
    </row>
    <row r="2750" spans="1:1" ht="18.75" customHeight="1">
      <c r="A2750"/>
    </row>
    <row r="2751" spans="1:1" ht="18.75" customHeight="1">
      <c r="A2751"/>
    </row>
    <row r="2752" spans="1:1" ht="18.75" customHeight="1">
      <c r="A2752"/>
    </row>
    <row r="2753" spans="1:1" ht="18.75" customHeight="1">
      <c r="A2753"/>
    </row>
    <row r="2754" spans="1:1" ht="18.75" customHeight="1">
      <c r="A2754"/>
    </row>
    <row r="2755" spans="1:1" ht="18.75" customHeight="1">
      <c r="A2755"/>
    </row>
    <row r="2756" spans="1:1" ht="18.75" customHeight="1">
      <c r="A2756"/>
    </row>
    <row r="2757" spans="1:1" ht="18.75" customHeight="1">
      <c r="A2757"/>
    </row>
    <row r="2758" spans="1:1" ht="18.75" customHeight="1">
      <c r="A2758"/>
    </row>
    <row r="2759" spans="1:1" ht="18.75" customHeight="1">
      <c r="A2759"/>
    </row>
    <row r="2760" spans="1:1" ht="18.75" customHeight="1">
      <c r="A2760"/>
    </row>
    <row r="2761" spans="1:1" ht="18.75" customHeight="1">
      <c r="A2761"/>
    </row>
    <row r="2762" spans="1:1" ht="18.75" customHeight="1">
      <c r="A2762"/>
    </row>
    <row r="2763" spans="1:1" ht="18.75" customHeight="1">
      <c r="A2763"/>
    </row>
    <row r="2764" spans="1:1" ht="18.75" customHeight="1">
      <c r="A2764"/>
    </row>
    <row r="2765" spans="1:1" ht="18.75" customHeight="1">
      <c r="A2765"/>
    </row>
    <row r="2766" spans="1:1" ht="18.75" customHeight="1">
      <c r="A2766"/>
    </row>
    <row r="2767" spans="1:1" ht="18.75" customHeight="1">
      <c r="A2767"/>
    </row>
    <row r="2768" spans="1:1" ht="18.75" customHeight="1">
      <c r="A2768"/>
    </row>
    <row r="2769" spans="1:1" ht="18.75" customHeight="1">
      <c r="A2769"/>
    </row>
    <row r="2770" spans="1:1" ht="18.75" customHeight="1">
      <c r="A2770"/>
    </row>
    <row r="2771" spans="1:1" ht="18.75" customHeight="1">
      <c r="A2771"/>
    </row>
    <row r="2772" spans="1:1" ht="18.75" customHeight="1">
      <c r="A2772"/>
    </row>
    <row r="2773" spans="1:1" ht="18.75" customHeight="1">
      <c r="A2773"/>
    </row>
    <row r="2774" spans="1:1" ht="18.75" customHeight="1">
      <c r="A2774"/>
    </row>
    <row r="2775" spans="1:1" ht="18.75" customHeight="1">
      <c r="A2775"/>
    </row>
    <row r="2776" spans="1:1" ht="18.75" customHeight="1">
      <c r="A2776"/>
    </row>
    <row r="2777" spans="1:1" ht="18.75" customHeight="1">
      <c r="A2777"/>
    </row>
    <row r="2778" spans="1:1" ht="18.75" customHeight="1">
      <c r="A2778"/>
    </row>
    <row r="2779" spans="1:1" ht="18.75" customHeight="1">
      <c r="A2779"/>
    </row>
    <row r="2780" spans="1:1" ht="18.75" customHeight="1">
      <c r="A2780"/>
    </row>
    <row r="2781" spans="1:1" ht="18.75" customHeight="1">
      <c r="A2781"/>
    </row>
    <row r="2782" spans="1:1" ht="18.75" customHeight="1">
      <c r="A2782"/>
    </row>
    <row r="2783" spans="1:1" ht="18.75" customHeight="1">
      <c r="A2783"/>
    </row>
    <row r="2784" spans="1:1" ht="18.75" customHeight="1">
      <c r="A2784"/>
    </row>
    <row r="2785" spans="1:1" ht="18.75" customHeight="1">
      <c r="A2785"/>
    </row>
    <row r="2786" spans="1:1" ht="18.75" customHeight="1">
      <c r="A2786"/>
    </row>
    <row r="2787" spans="1:1" ht="18.75" customHeight="1">
      <c r="A2787"/>
    </row>
    <row r="2788" spans="1:1" ht="18.75" customHeight="1">
      <c r="A2788"/>
    </row>
    <row r="2789" spans="1:1" ht="18.75" customHeight="1">
      <c r="A2789"/>
    </row>
    <row r="2790" spans="1:1" ht="18.75" customHeight="1">
      <c r="A2790"/>
    </row>
    <row r="2791" spans="1:1" ht="18.75" customHeight="1">
      <c r="A2791"/>
    </row>
    <row r="2792" spans="1:1" ht="18.75" customHeight="1">
      <c r="A2792"/>
    </row>
    <row r="2793" spans="1:1" ht="18.75" customHeight="1">
      <c r="A2793"/>
    </row>
    <row r="2794" spans="1:1" ht="18.75" customHeight="1">
      <c r="A2794"/>
    </row>
    <row r="2795" spans="1:1" ht="18.75" customHeight="1">
      <c r="A2795"/>
    </row>
    <row r="2796" spans="1:1" ht="18.75" customHeight="1">
      <c r="A2796"/>
    </row>
    <row r="2797" spans="1:1" ht="18.75" customHeight="1">
      <c r="A2797"/>
    </row>
    <row r="2798" spans="1:1" ht="18.75" customHeight="1">
      <c r="A2798"/>
    </row>
    <row r="2799" spans="1:1" ht="18.75" customHeight="1">
      <c r="A2799"/>
    </row>
    <row r="2800" spans="1:1" ht="18.75" customHeight="1">
      <c r="A2800"/>
    </row>
    <row r="2801" spans="1:1" ht="18.75" customHeight="1">
      <c r="A2801"/>
    </row>
    <row r="2802" spans="1:1" ht="18.75" customHeight="1">
      <c r="A2802"/>
    </row>
    <row r="2803" spans="1:1" ht="18.75" customHeight="1">
      <c r="A2803"/>
    </row>
    <row r="2804" spans="1:1" ht="18.75" customHeight="1">
      <c r="A2804"/>
    </row>
    <row r="2805" spans="1:1" ht="18.75" customHeight="1">
      <c r="A2805"/>
    </row>
    <row r="2806" spans="1:1" ht="18.75" customHeight="1">
      <c r="A2806"/>
    </row>
    <row r="2807" spans="1:1" ht="18.75" customHeight="1">
      <c r="A2807"/>
    </row>
    <row r="2808" spans="1:1" ht="18.75" customHeight="1">
      <c r="A2808"/>
    </row>
    <row r="2809" spans="1:1" ht="18.75" customHeight="1">
      <c r="A2809"/>
    </row>
    <row r="2810" spans="1:1" ht="18.75" customHeight="1">
      <c r="A2810"/>
    </row>
    <row r="2811" spans="1:1" ht="18.75" customHeight="1">
      <c r="A2811"/>
    </row>
    <row r="2812" spans="1:1" ht="18.75" customHeight="1">
      <c r="A2812"/>
    </row>
    <row r="2813" spans="1:1" ht="18.75" customHeight="1">
      <c r="A2813"/>
    </row>
    <row r="2814" spans="1:1" ht="18.75" customHeight="1">
      <c r="A2814"/>
    </row>
    <row r="2815" spans="1:1" ht="18.75" customHeight="1">
      <c r="A2815"/>
    </row>
    <row r="2816" spans="1:1" ht="18.75" customHeight="1">
      <c r="A2816"/>
    </row>
    <row r="2817" spans="1:1" ht="18.75" customHeight="1">
      <c r="A2817"/>
    </row>
    <row r="2818" spans="1:1" ht="18.75" customHeight="1">
      <c r="A2818"/>
    </row>
    <row r="2819" spans="1:1" ht="18.75" customHeight="1">
      <c r="A2819"/>
    </row>
    <row r="2820" spans="1:1" ht="18.75" customHeight="1">
      <c r="A2820"/>
    </row>
    <row r="2821" spans="1:1" ht="18.75" customHeight="1">
      <c r="A2821"/>
    </row>
    <row r="2822" spans="1:1" ht="18.75" customHeight="1">
      <c r="A2822"/>
    </row>
    <row r="2823" spans="1:1" ht="18.75" customHeight="1">
      <c r="A2823"/>
    </row>
    <row r="2824" spans="1:1" ht="18.75" customHeight="1">
      <c r="A2824"/>
    </row>
    <row r="2825" spans="1:1" ht="18.75" customHeight="1">
      <c r="A2825"/>
    </row>
    <row r="2826" spans="1:1" ht="18.75" customHeight="1">
      <c r="A2826"/>
    </row>
    <row r="2827" spans="1:1" ht="18.75" customHeight="1">
      <c r="A2827"/>
    </row>
    <row r="2828" spans="1:1" ht="18.75" customHeight="1">
      <c r="A2828"/>
    </row>
    <row r="2829" spans="1:1" ht="18.75" customHeight="1">
      <c r="A2829"/>
    </row>
    <row r="2830" spans="1:1" ht="18.75" customHeight="1">
      <c r="A2830"/>
    </row>
    <row r="2831" spans="1:1" ht="18.75" customHeight="1">
      <c r="A2831"/>
    </row>
    <row r="2832" spans="1:1" ht="18.75" customHeight="1">
      <c r="A2832"/>
    </row>
    <row r="2833" spans="1:1" ht="18.75" customHeight="1">
      <c r="A2833"/>
    </row>
    <row r="2834" spans="1:1" ht="18.75" customHeight="1">
      <c r="A2834"/>
    </row>
    <row r="2835" spans="1:1" ht="18.75" customHeight="1">
      <c r="A2835"/>
    </row>
    <row r="2836" spans="1:1" ht="18.75" customHeight="1">
      <c r="A2836"/>
    </row>
    <row r="2837" spans="1:1" ht="18.75" customHeight="1">
      <c r="A2837"/>
    </row>
    <row r="2838" spans="1:1" ht="18.75" customHeight="1">
      <c r="A2838"/>
    </row>
    <row r="2839" spans="1:1" ht="18.75" customHeight="1">
      <c r="A2839"/>
    </row>
    <row r="2840" spans="1:1" ht="18.75" customHeight="1">
      <c r="A2840"/>
    </row>
    <row r="2841" spans="1:1" ht="18.75" customHeight="1">
      <c r="A2841"/>
    </row>
    <row r="2842" spans="1:1" ht="18.75" customHeight="1">
      <c r="A2842"/>
    </row>
    <row r="2843" spans="1:1" ht="18.75" customHeight="1">
      <c r="A2843"/>
    </row>
    <row r="2844" spans="1:1" ht="18.75" customHeight="1">
      <c r="A2844"/>
    </row>
    <row r="2845" spans="1:1" ht="18.75" customHeight="1">
      <c r="A2845"/>
    </row>
    <row r="2846" spans="1:1" ht="18.75" customHeight="1">
      <c r="A2846"/>
    </row>
    <row r="2847" spans="1:1" ht="18.75" customHeight="1">
      <c r="A2847"/>
    </row>
    <row r="2848" spans="1:1" ht="18.75" customHeight="1">
      <c r="A2848"/>
    </row>
    <row r="2849" spans="1:1" ht="18.75" customHeight="1">
      <c r="A2849"/>
    </row>
    <row r="2850" spans="1:1" ht="18.75" customHeight="1">
      <c r="A2850"/>
    </row>
    <row r="2851" spans="1:1" ht="18.75" customHeight="1">
      <c r="A2851"/>
    </row>
    <row r="2852" spans="1:1" ht="18.75" customHeight="1">
      <c r="A2852"/>
    </row>
    <row r="2853" spans="1:1" ht="18.75" customHeight="1">
      <c r="A2853"/>
    </row>
    <row r="2854" spans="1:1" ht="18.75" customHeight="1">
      <c r="A2854"/>
    </row>
    <row r="2855" spans="1:1" ht="18.75" customHeight="1">
      <c r="A2855"/>
    </row>
    <row r="2856" spans="1:1" ht="18.75" customHeight="1">
      <c r="A2856"/>
    </row>
    <row r="2857" spans="1:1" ht="18.75" customHeight="1">
      <c r="A2857"/>
    </row>
    <row r="2858" spans="1:1" ht="18.75" customHeight="1">
      <c r="A2858"/>
    </row>
    <row r="2859" spans="1:1" ht="18.75" customHeight="1">
      <c r="A2859"/>
    </row>
    <row r="2860" spans="1:1" ht="18.75" customHeight="1">
      <c r="A2860"/>
    </row>
    <row r="2861" spans="1:1" ht="18.75" customHeight="1">
      <c r="A2861"/>
    </row>
    <row r="2862" spans="1:1" ht="18.75" customHeight="1">
      <c r="A2862"/>
    </row>
    <row r="2863" spans="1:1" ht="18.75" customHeight="1">
      <c r="A2863"/>
    </row>
    <row r="2864" spans="1:1" ht="18.75" customHeight="1">
      <c r="A2864"/>
    </row>
    <row r="2865" spans="1:1" ht="18.75" customHeight="1">
      <c r="A2865"/>
    </row>
    <row r="2866" spans="1:1" ht="18.75" customHeight="1">
      <c r="A2866"/>
    </row>
    <row r="2867" spans="1:1" ht="18.75" customHeight="1">
      <c r="A2867"/>
    </row>
    <row r="2868" spans="1:1" ht="18.75" customHeight="1">
      <c r="A2868"/>
    </row>
    <row r="2869" spans="1:1" ht="18.75" customHeight="1">
      <c r="A2869"/>
    </row>
    <row r="2870" spans="1:1" ht="18.75" customHeight="1">
      <c r="A2870"/>
    </row>
    <row r="2871" spans="1:1" ht="18.75" customHeight="1">
      <c r="A2871"/>
    </row>
    <row r="2872" spans="1:1" ht="18.75" customHeight="1">
      <c r="A2872"/>
    </row>
    <row r="2873" spans="1:1" ht="18.75" customHeight="1">
      <c r="A2873"/>
    </row>
    <row r="2874" spans="1:1" ht="18.75" customHeight="1">
      <c r="A2874"/>
    </row>
    <row r="2875" spans="1:1" ht="18.75" customHeight="1">
      <c r="A2875"/>
    </row>
    <row r="2876" spans="1:1" ht="18.75" customHeight="1">
      <c r="A2876"/>
    </row>
    <row r="2877" spans="1:1" ht="18.75" customHeight="1">
      <c r="A2877"/>
    </row>
    <row r="2878" spans="1:1" ht="18.75" customHeight="1">
      <c r="A2878"/>
    </row>
    <row r="2879" spans="1:1" ht="18.75" customHeight="1">
      <c r="A2879"/>
    </row>
    <row r="2880" spans="1:1" ht="18.75" customHeight="1">
      <c r="A2880"/>
    </row>
    <row r="2881" spans="1:1" ht="18.75" customHeight="1">
      <c r="A2881"/>
    </row>
    <row r="2882" spans="1:1" ht="18.75" customHeight="1">
      <c r="A2882"/>
    </row>
    <row r="2883" spans="1:1" ht="18.75" customHeight="1">
      <c r="A2883"/>
    </row>
    <row r="2884" spans="1:1" ht="18.75" customHeight="1">
      <c r="A2884"/>
    </row>
    <row r="2885" spans="1:1" ht="18.75" customHeight="1">
      <c r="A2885"/>
    </row>
    <row r="2886" spans="1:1" ht="18.75" customHeight="1">
      <c r="A2886"/>
    </row>
    <row r="2887" spans="1:1" ht="18.75" customHeight="1">
      <c r="A2887"/>
    </row>
    <row r="2888" spans="1:1" ht="18.75" customHeight="1">
      <c r="A2888"/>
    </row>
    <row r="2889" spans="1:1" ht="18.75" customHeight="1">
      <c r="A2889"/>
    </row>
    <row r="2890" spans="1:1" ht="18.75" customHeight="1">
      <c r="A2890"/>
    </row>
    <row r="2891" spans="1:1" ht="18.75" customHeight="1">
      <c r="A2891"/>
    </row>
    <row r="2892" spans="1:1" ht="18.75" customHeight="1">
      <c r="A2892"/>
    </row>
    <row r="2893" spans="1:1" ht="18.75" customHeight="1">
      <c r="A2893"/>
    </row>
    <row r="2894" spans="1:1" ht="18.75" customHeight="1">
      <c r="A2894"/>
    </row>
    <row r="2895" spans="1:1" ht="18.75" customHeight="1">
      <c r="A2895"/>
    </row>
    <row r="2896" spans="1:1" ht="18.75" customHeight="1">
      <c r="A2896"/>
    </row>
    <row r="2897" spans="1:1" ht="18.75" customHeight="1">
      <c r="A2897"/>
    </row>
    <row r="2898" spans="1:1" ht="18.75" customHeight="1">
      <c r="A2898"/>
    </row>
    <row r="2899" spans="1:1" ht="18.75" customHeight="1">
      <c r="A2899"/>
    </row>
    <row r="2900" spans="1:1" ht="18.75" customHeight="1">
      <c r="A2900"/>
    </row>
    <row r="2901" spans="1:1" ht="18.75" customHeight="1">
      <c r="A2901"/>
    </row>
    <row r="2902" spans="1:1" ht="18.75" customHeight="1">
      <c r="A2902"/>
    </row>
    <row r="2903" spans="1:1" ht="18.75" customHeight="1">
      <c r="A2903"/>
    </row>
    <row r="2904" spans="1:1" ht="18.75" customHeight="1">
      <c r="A2904"/>
    </row>
    <row r="2905" spans="1:1" ht="18.75" customHeight="1">
      <c r="A2905"/>
    </row>
    <row r="2906" spans="1:1" ht="18.75" customHeight="1">
      <c r="A2906"/>
    </row>
    <row r="2907" spans="1:1" ht="18.75" customHeight="1">
      <c r="A2907"/>
    </row>
    <row r="2908" spans="1:1" ht="18.75" customHeight="1">
      <c r="A2908"/>
    </row>
    <row r="2909" spans="1:1" ht="18.75" customHeight="1">
      <c r="A2909"/>
    </row>
    <row r="2910" spans="1:1" ht="18.75" customHeight="1">
      <c r="A2910"/>
    </row>
    <row r="2911" spans="1:1" ht="18.75" customHeight="1">
      <c r="A2911"/>
    </row>
    <row r="2912" spans="1:1" ht="18.75" customHeight="1">
      <c r="A2912"/>
    </row>
    <row r="2913" spans="1:1" ht="18.75" customHeight="1">
      <c r="A2913"/>
    </row>
    <row r="2914" spans="1:1" ht="18.75" customHeight="1">
      <c r="A2914"/>
    </row>
    <row r="2915" spans="1:1" ht="18.75" customHeight="1">
      <c r="A2915"/>
    </row>
    <row r="2916" spans="1:1" ht="18.75" customHeight="1">
      <c r="A2916"/>
    </row>
    <row r="2917" spans="1:1" ht="18.75" customHeight="1">
      <c r="A2917"/>
    </row>
    <row r="2918" spans="1:1" ht="18.75" customHeight="1">
      <c r="A2918"/>
    </row>
    <row r="2919" spans="1:1" ht="18.75" customHeight="1">
      <c r="A2919"/>
    </row>
    <row r="2920" spans="1:1" ht="18.75" customHeight="1">
      <c r="A2920"/>
    </row>
    <row r="2921" spans="1:1" ht="18.75" customHeight="1">
      <c r="A2921"/>
    </row>
    <row r="2922" spans="1:1" ht="18.75" customHeight="1">
      <c r="A2922"/>
    </row>
    <row r="2923" spans="1:1" ht="18.75" customHeight="1">
      <c r="A2923"/>
    </row>
    <row r="2924" spans="1:1" ht="18.75" customHeight="1">
      <c r="A2924"/>
    </row>
    <row r="2925" spans="1:1" ht="18.75" customHeight="1">
      <c r="A2925"/>
    </row>
    <row r="2926" spans="1:1" ht="18.75" customHeight="1">
      <c r="A2926"/>
    </row>
    <row r="2927" spans="1:1" ht="18.75" customHeight="1">
      <c r="A2927"/>
    </row>
    <row r="2928" spans="1:1" ht="18.75" customHeight="1">
      <c r="A2928"/>
    </row>
    <row r="2929" spans="1:1" ht="18.75" customHeight="1">
      <c r="A2929"/>
    </row>
    <row r="2930" spans="1:1" ht="18.75" customHeight="1">
      <c r="A2930"/>
    </row>
    <row r="2931" spans="1:1" ht="18.75" customHeight="1">
      <c r="A2931"/>
    </row>
    <row r="2932" spans="1:1" ht="18.75" customHeight="1">
      <c r="A2932"/>
    </row>
    <row r="2933" spans="1:1" ht="18.75" customHeight="1">
      <c r="A2933"/>
    </row>
    <row r="2934" spans="1:1" ht="18.75" customHeight="1">
      <c r="A2934"/>
    </row>
    <row r="2935" spans="1:1" ht="18.75" customHeight="1">
      <c r="A2935"/>
    </row>
    <row r="2936" spans="1:1" ht="18.75" customHeight="1">
      <c r="A2936"/>
    </row>
    <row r="2937" spans="1:1" ht="18.75" customHeight="1">
      <c r="A2937"/>
    </row>
    <row r="2938" spans="1:1" ht="18.75" customHeight="1">
      <c r="A2938"/>
    </row>
    <row r="2939" spans="1:1" ht="18.75" customHeight="1">
      <c r="A2939"/>
    </row>
    <row r="2940" spans="1:1" ht="18.75" customHeight="1">
      <c r="A2940"/>
    </row>
    <row r="2941" spans="1:1" ht="18.75" customHeight="1">
      <c r="A2941"/>
    </row>
    <row r="2942" spans="1:1" ht="18.75" customHeight="1">
      <c r="A2942"/>
    </row>
    <row r="2943" spans="1:1" ht="18.75" customHeight="1">
      <c r="A2943"/>
    </row>
    <row r="2944" spans="1:1" ht="18.75" customHeight="1">
      <c r="A2944"/>
    </row>
    <row r="2945" spans="1:1" ht="18.75" customHeight="1">
      <c r="A2945"/>
    </row>
    <row r="2946" spans="1:1" ht="18.75" customHeight="1">
      <c r="A2946"/>
    </row>
    <row r="2947" spans="1:1" ht="18.75" customHeight="1">
      <c r="A2947"/>
    </row>
    <row r="2948" spans="1:1" ht="18.75" customHeight="1">
      <c r="A2948"/>
    </row>
    <row r="2949" spans="1:1" ht="18.75" customHeight="1">
      <c r="A2949"/>
    </row>
    <row r="2950" spans="1:1" ht="18.75" customHeight="1">
      <c r="A2950"/>
    </row>
    <row r="2951" spans="1:1" ht="18.75" customHeight="1">
      <c r="A2951"/>
    </row>
    <row r="2952" spans="1:1" ht="18.75" customHeight="1">
      <c r="A2952"/>
    </row>
    <row r="2953" spans="1:1" ht="18.75" customHeight="1">
      <c r="A2953"/>
    </row>
    <row r="2954" spans="1:1" ht="18.75" customHeight="1">
      <c r="A2954"/>
    </row>
    <row r="2955" spans="1:1" ht="18.75" customHeight="1">
      <c r="A2955"/>
    </row>
    <row r="2956" spans="1:1" ht="18.75" customHeight="1">
      <c r="A2956"/>
    </row>
    <row r="2957" spans="1:1" ht="18.75" customHeight="1">
      <c r="A2957"/>
    </row>
    <row r="2958" spans="1:1" ht="18.75" customHeight="1">
      <c r="A2958"/>
    </row>
    <row r="2959" spans="1:1" ht="18.75" customHeight="1">
      <c r="A2959"/>
    </row>
    <row r="2960" spans="1:1" ht="18.75" customHeight="1">
      <c r="A2960"/>
    </row>
    <row r="2961" spans="1:1" ht="18.75" customHeight="1">
      <c r="A2961"/>
    </row>
    <row r="2962" spans="1:1" ht="18.75" customHeight="1">
      <c r="A2962"/>
    </row>
    <row r="2963" spans="1:1" ht="18.75" customHeight="1">
      <c r="A2963"/>
    </row>
    <row r="2964" spans="1:1" ht="18.75" customHeight="1">
      <c r="A2964"/>
    </row>
    <row r="2965" spans="1:1" ht="18.75" customHeight="1">
      <c r="A2965"/>
    </row>
    <row r="2966" spans="1:1" ht="18.75" customHeight="1">
      <c r="A2966"/>
    </row>
    <row r="2967" spans="1:1" ht="18.75" customHeight="1">
      <c r="A2967"/>
    </row>
    <row r="2968" spans="1:1" ht="18.75" customHeight="1">
      <c r="A2968"/>
    </row>
    <row r="2969" spans="1:1" ht="18.75" customHeight="1">
      <c r="A2969"/>
    </row>
    <row r="2970" spans="1:1" ht="18.75" customHeight="1">
      <c r="A2970"/>
    </row>
    <row r="2971" spans="1:1" ht="18.75" customHeight="1">
      <c r="A2971"/>
    </row>
    <row r="2972" spans="1:1" ht="18.75" customHeight="1">
      <c r="A2972"/>
    </row>
    <row r="2973" spans="1:1" ht="18.75" customHeight="1">
      <c r="A2973"/>
    </row>
    <row r="2974" spans="1:1" ht="18.75" customHeight="1">
      <c r="A2974"/>
    </row>
    <row r="2975" spans="1:1" ht="18.75" customHeight="1">
      <c r="A2975"/>
    </row>
    <row r="2976" spans="1:1" ht="18.75" customHeight="1">
      <c r="A2976"/>
    </row>
    <row r="2977" spans="1:1" ht="18.75" customHeight="1">
      <c r="A2977"/>
    </row>
    <row r="2978" spans="1:1" ht="18.75" customHeight="1">
      <c r="A2978"/>
    </row>
    <row r="2979" spans="1:1" ht="18.75" customHeight="1">
      <c r="A2979"/>
    </row>
    <row r="2980" spans="1:1" ht="18.75" customHeight="1">
      <c r="A2980"/>
    </row>
    <row r="2981" spans="1:1" ht="18.75" customHeight="1">
      <c r="A2981"/>
    </row>
    <row r="2982" spans="1:1" ht="18.75" customHeight="1">
      <c r="A2982"/>
    </row>
    <row r="2983" spans="1:1" ht="18.75" customHeight="1">
      <c r="A2983"/>
    </row>
    <row r="2984" spans="1:1" ht="18.75" customHeight="1">
      <c r="A2984"/>
    </row>
    <row r="2985" spans="1:1" ht="18.75" customHeight="1">
      <c r="A2985"/>
    </row>
    <row r="2986" spans="1:1" ht="18.75" customHeight="1">
      <c r="A2986"/>
    </row>
    <row r="2987" spans="1:1" ht="18.75" customHeight="1">
      <c r="A2987"/>
    </row>
    <row r="2988" spans="1:1" ht="18.75" customHeight="1">
      <c r="A2988"/>
    </row>
    <row r="2989" spans="1:1" ht="18.75" customHeight="1">
      <c r="A2989"/>
    </row>
    <row r="2990" spans="1:1" ht="18.75" customHeight="1">
      <c r="A2990"/>
    </row>
    <row r="2991" spans="1:1" ht="18.75" customHeight="1">
      <c r="A2991"/>
    </row>
    <row r="2992" spans="1:1" ht="18.75" customHeight="1">
      <c r="A2992"/>
    </row>
    <row r="2993" spans="1:1" ht="18.75" customHeight="1">
      <c r="A2993"/>
    </row>
    <row r="2994" spans="1:1" ht="18.75" customHeight="1">
      <c r="A2994"/>
    </row>
    <row r="2995" spans="1:1" ht="18.75" customHeight="1">
      <c r="A2995"/>
    </row>
    <row r="2996" spans="1:1" ht="18.75" customHeight="1">
      <c r="A2996"/>
    </row>
    <row r="2997" spans="1:1" ht="18.75" customHeight="1">
      <c r="A2997"/>
    </row>
    <row r="2998" spans="1:1" ht="18.75" customHeight="1">
      <c r="A2998"/>
    </row>
    <row r="2999" spans="1:1" ht="18.75" customHeight="1">
      <c r="A2999"/>
    </row>
    <row r="3000" spans="1:1" ht="18.75" customHeight="1">
      <c r="A3000"/>
    </row>
    <row r="3001" spans="1:1" ht="18.75" customHeight="1">
      <c r="A3001"/>
    </row>
    <row r="3002" spans="1:1" ht="18.75" customHeight="1">
      <c r="A3002"/>
    </row>
    <row r="3003" spans="1:1" ht="18.75" customHeight="1">
      <c r="A3003"/>
    </row>
    <row r="3004" spans="1:1" ht="18.75" customHeight="1">
      <c r="A3004"/>
    </row>
    <row r="3005" spans="1:1" ht="18.75" customHeight="1">
      <c r="A3005"/>
    </row>
    <row r="3006" spans="1:1" ht="18.75" customHeight="1">
      <c r="A3006"/>
    </row>
    <row r="3007" spans="1:1" ht="18.75" customHeight="1">
      <c r="A3007"/>
    </row>
    <row r="3008" spans="1:1" ht="18.75" customHeight="1">
      <c r="A3008"/>
    </row>
    <row r="3009" spans="1:1" ht="18.75" customHeight="1">
      <c r="A3009"/>
    </row>
    <row r="3010" spans="1:1" ht="18.75" customHeight="1">
      <c r="A3010"/>
    </row>
    <row r="3011" spans="1:1" ht="18.75" customHeight="1">
      <c r="A3011"/>
    </row>
    <row r="3012" spans="1:1" ht="18.75" customHeight="1">
      <c r="A3012"/>
    </row>
    <row r="3013" spans="1:1" ht="18.75" customHeight="1">
      <c r="A3013"/>
    </row>
    <row r="3014" spans="1:1" ht="18.75" customHeight="1">
      <c r="A3014"/>
    </row>
    <row r="3015" spans="1:1" ht="18.75" customHeight="1">
      <c r="A3015"/>
    </row>
    <row r="3016" spans="1:1" ht="18.75" customHeight="1">
      <c r="A3016"/>
    </row>
    <row r="3017" spans="1:1" ht="18.75" customHeight="1">
      <c r="A3017"/>
    </row>
    <row r="3018" spans="1:1" ht="18.75" customHeight="1">
      <c r="A3018"/>
    </row>
    <row r="3019" spans="1:1" ht="18.75" customHeight="1">
      <c r="A3019"/>
    </row>
    <row r="3020" spans="1:1" ht="18.75" customHeight="1">
      <c r="A3020"/>
    </row>
    <row r="3021" spans="1:1" ht="18.75" customHeight="1">
      <c r="A3021"/>
    </row>
    <row r="3022" spans="1:1" ht="18.75" customHeight="1">
      <c r="A3022"/>
    </row>
    <row r="3023" spans="1:1" ht="18.75" customHeight="1">
      <c r="A3023"/>
    </row>
    <row r="3024" spans="1:1" ht="18.75" customHeight="1">
      <c r="A3024"/>
    </row>
    <row r="3025" spans="1:1" ht="18.75" customHeight="1">
      <c r="A3025"/>
    </row>
    <row r="3026" spans="1:1" ht="18.75" customHeight="1">
      <c r="A3026"/>
    </row>
    <row r="3027" spans="1:1" ht="18.75" customHeight="1">
      <c r="A3027"/>
    </row>
    <row r="3028" spans="1:1" ht="18.75" customHeight="1">
      <c r="A3028"/>
    </row>
    <row r="3029" spans="1:1" ht="18.75" customHeight="1">
      <c r="A3029"/>
    </row>
    <row r="3030" spans="1:1" ht="18.75" customHeight="1">
      <c r="A3030"/>
    </row>
    <row r="3031" spans="1:1" ht="18.75" customHeight="1">
      <c r="A3031"/>
    </row>
    <row r="3032" spans="1:1" ht="18.75" customHeight="1">
      <c r="A3032"/>
    </row>
    <row r="3033" spans="1:1" ht="18.75" customHeight="1">
      <c r="A3033"/>
    </row>
    <row r="3034" spans="1:1" ht="18.75" customHeight="1">
      <c r="A3034"/>
    </row>
    <row r="3035" spans="1:1" ht="18.75" customHeight="1">
      <c r="A3035"/>
    </row>
    <row r="3036" spans="1:1" ht="18.75" customHeight="1">
      <c r="A3036"/>
    </row>
    <row r="3037" spans="1:1" ht="18.75" customHeight="1">
      <c r="A3037"/>
    </row>
    <row r="3038" spans="1:1" ht="18.75" customHeight="1">
      <c r="A3038"/>
    </row>
    <row r="3039" spans="1:1" ht="18.75" customHeight="1">
      <c r="A3039"/>
    </row>
    <row r="3040" spans="1:1" ht="18.75" customHeight="1">
      <c r="A3040"/>
    </row>
    <row r="3041" spans="1:1" ht="18.75" customHeight="1">
      <c r="A3041"/>
    </row>
    <row r="3042" spans="1:1" ht="18.75" customHeight="1">
      <c r="A3042"/>
    </row>
    <row r="3043" spans="1:1" ht="18.75" customHeight="1">
      <c r="A3043"/>
    </row>
    <row r="3044" spans="1:1" ht="18.75" customHeight="1">
      <c r="A3044"/>
    </row>
    <row r="3045" spans="1:1" ht="18.75" customHeight="1">
      <c r="A3045"/>
    </row>
    <row r="3046" spans="1:1" ht="18.75" customHeight="1">
      <c r="A3046"/>
    </row>
    <row r="3047" spans="1:1" ht="18.75" customHeight="1">
      <c r="A3047"/>
    </row>
    <row r="3048" spans="1:1" ht="18.75" customHeight="1">
      <c r="A3048"/>
    </row>
    <row r="3049" spans="1:1" ht="18.75" customHeight="1">
      <c r="A3049"/>
    </row>
    <row r="3050" spans="1:1" ht="18.75" customHeight="1">
      <c r="A3050"/>
    </row>
    <row r="3051" spans="1:1" ht="18.75" customHeight="1">
      <c r="A3051"/>
    </row>
    <row r="3052" spans="1:1" ht="18.75" customHeight="1">
      <c r="A3052"/>
    </row>
    <row r="3053" spans="1:1" ht="18.75" customHeight="1">
      <c r="A3053"/>
    </row>
    <row r="3054" spans="1:1" ht="18.75" customHeight="1">
      <c r="A3054"/>
    </row>
    <row r="3055" spans="1:1" ht="18.75" customHeight="1">
      <c r="A3055"/>
    </row>
    <row r="3056" spans="1:1" ht="18.75" customHeight="1">
      <c r="A3056"/>
    </row>
    <row r="3057" spans="1:1" ht="18.75" customHeight="1">
      <c r="A3057"/>
    </row>
    <row r="3058" spans="1:1" ht="18.75" customHeight="1">
      <c r="A3058"/>
    </row>
    <row r="3059" spans="1:1" ht="18.75" customHeight="1">
      <c r="A3059"/>
    </row>
    <row r="3060" spans="1:1" ht="18.75" customHeight="1">
      <c r="A3060"/>
    </row>
    <row r="3061" spans="1:1" ht="18.75" customHeight="1">
      <c r="A3061"/>
    </row>
    <row r="3062" spans="1:1" ht="18.75" customHeight="1">
      <c r="A3062"/>
    </row>
    <row r="3063" spans="1:1" ht="18.75" customHeight="1">
      <c r="A3063"/>
    </row>
    <row r="3064" spans="1:1" ht="18.75" customHeight="1">
      <c r="A3064"/>
    </row>
    <row r="3065" spans="1:1" ht="18.75" customHeight="1">
      <c r="A3065"/>
    </row>
    <row r="3066" spans="1:1" ht="18.75" customHeight="1">
      <c r="A3066"/>
    </row>
    <row r="3067" spans="1:1" ht="18.75" customHeight="1">
      <c r="A3067"/>
    </row>
    <row r="3068" spans="1:1" ht="18.75" customHeight="1">
      <c r="A3068"/>
    </row>
    <row r="3069" spans="1:1" ht="18.75" customHeight="1">
      <c r="A3069"/>
    </row>
    <row r="3070" spans="1:1" ht="18.75" customHeight="1">
      <c r="A3070"/>
    </row>
    <row r="3071" spans="1:1" ht="18.75" customHeight="1">
      <c r="A3071"/>
    </row>
    <row r="3072" spans="1:1" ht="18.75" customHeight="1">
      <c r="A3072"/>
    </row>
    <row r="3073" spans="1:1" ht="18.75" customHeight="1">
      <c r="A3073"/>
    </row>
    <row r="3074" spans="1:1" ht="18.75" customHeight="1">
      <c r="A3074"/>
    </row>
    <row r="3075" spans="1:1" ht="18.75" customHeight="1">
      <c r="A3075"/>
    </row>
    <row r="3076" spans="1:1" ht="18.75" customHeight="1">
      <c r="A3076"/>
    </row>
    <row r="3077" spans="1:1" ht="18.75" customHeight="1">
      <c r="A3077"/>
    </row>
    <row r="3078" spans="1:1" ht="18.75" customHeight="1">
      <c r="A3078"/>
    </row>
    <row r="3079" spans="1:1" ht="18.75" customHeight="1">
      <c r="A3079"/>
    </row>
    <row r="3080" spans="1:1" ht="18.75" customHeight="1">
      <c r="A3080"/>
    </row>
    <row r="3081" spans="1:1" ht="18.75" customHeight="1">
      <c r="A3081"/>
    </row>
    <row r="3082" spans="1:1" ht="18.75" customHeight="1">
      <c r="A3082"/>
    </row>
    <row r="3083" spans="1:1" ht="18.75" customHeight="1">
      <c r="A3083"/>
    </row>
    <row r="3084" spans="1:1" ht="18.75" customHeight="1">
      <c r="A3084"/>
    </row>
    <row r="3085" spans="1:1" ht="18.75" customHeight="1">
      <c r="A3085"/>
    </row>
    <row r="3086" spans="1:1" ht="18.75" customHeight="1">
      <c r="A3086"/>
    </row>
    <row r="3087" spans="1:1" ht="18.75" customHeight="1">
      <c r="A3087"/>
    </row>
    <row r="3088" spans="1:1" ht="18.75" customHeight="1">
      <c r="A3088"/>
    </row>
    <row r="3089" spans="1:1" ht="18.75" customHeight="1">
      <c r="A3089"/>
    </row>
    <row r="3090" spans="1:1" ht="18.75" customHeight="1">
      <c r="A3090"/>
    </row>
    <row r="3091" spans="1:1" ht="18.75" customHeight="1">
      <c r="A3091"/>
    </row>
    <row r="3092" spans="1:1" ht="18.75" customHeight="1">
      <c r="A3092"/>
    </row>
    <row r="3093" spans="1:1" ht="18.75" customHeight="1">
      <c r="A3093"/>
    </row>
    <row r="3094" spans="1:1" ht="18.75" customHeight="1">
      <c r="A3094"/>
    </row>
    <row r="3095" spans="1:1" ht="18.75" customHeight="1">
      <c r="A3095"/>
    </row>
    <row r="3096" spans="1:1" ht="18.75" customHeight="1">
      <c r="A3096"/>
    </row>
    <row r="3097" spans="1:1" ht="18.75" customHeight="1">
      <c r="A3097"/>
    </row>
    <row r="3098" spans="1:1" ht="18.75" customHeight="1">
      <c r="A3098"/>
    </row>
    <row r="3099" spans="1:1" ht="18.75" customHeight="1">
      <c r="A3099"/>
    </row>
    <row r="3100" spans="1:1" ht="18.75" customHeight="1">
      <c r="A3100"/>
    </row>
    <row r="3101" spans="1:1" ht="18.75" customHeight="1">
      <c r="A3101"/>
    </row>
    <row r="3102" spans="1:1" ht="18.75" customHeight="1">
      <c r="A3102"/>
    </row>
    <row r="3103" spans="1:1" ht="18.75" customHeight="1">
      <c r="A3103"/>
    </row>
    <row r="3104" spans="1:1" ht="18.75" customHeight="1">
      <c r="A3104"/>
    </row>
    <row r="3105" spans="1:1" ht="18.75" customHeight="1">
      <c r="A3105"/>
    </row>
    <row r="3106" spans="1:1" ht="18.75" customHeight="1">
      <c r="A3106"/>
    </row>
    <row r="3107" spans="1:1" ht="18.75" customHeight="1">
      <c r="A3107"/>
    </row>
    <row r="3108" spans="1:1" ht="18.75" customHeight="1">
      <c r="A3108"/>
    </row>
    <row r="3109" spans="1:1" ht="18.75" customHeight="1">
      <c r="A3109"/>
    </row>
    <row r="3110" spans="1:1" ht="18.75" customHeight="1">
      <c r="A3110"/>
    </row>
    <row r="3111" spans="1:1" ht="18.75" customHeight="1">
      <c r="A3111"/>
    </row>
    <row r="3112" spans="1:1" ht="18.75" customHeight="1">
      <c r="A3112"/>
    </row>
    <row r="3113" spans="1:1" ht="18.75" customHeight="1">
      <c r="A3113"/>
    </row>
    <row r="3114" spans="1:1" ht="18.75" customHeight="1">
      <c r="A3114"/>
    </row>
    <row r="3115" spans="1:1" ht="18.75" customHeight="1">
      <c r="A3115"/>
    </row>
    <row r="3116" spans="1:1" ht="18.75" customHeight="1">
      <c r="A3116"/>
    </row>
    <row r="3117" spans="1:1" ht="18.75" customHeight="1">
      <c r="A3117"/>
    </row>
    <row r="3118" spans="1:1" ht="18.75" customHeight="1">
      <c r="A3118"/>
    </row>
    <row r="3119" spans="1:1" ht="18.75" customHeight="1">
      <c r="A3119"/>
    </row>
    <row r="3120" spans="1:1" ht="18.75" customHeight="1">
      <c r="A3120"/>
    </row>
    <row r="3121" spans="1:1" ht="18.75" customHeight="1">
      <c r="A3121"/>
    </row>
    <row r="3122" spans="1:1" ht="18.75" customHeight="1">
      <c r="A3122"/>
    </row>
    <row r="3123" spans="1:1" ht="18.75" customHeight="1">
      <c r="A3123"/>
    </row>
    <row r="3124" spans="1:1" ht="18.75" customHeight="1">
      <c r="A3124"/>
    </row>
    <row r="3125" spans="1:1" ht="18.75" customHeight="1">
      <c r="A3125"/>
    </row>
    <row r="3126" spans="1:1" ht="18.75" customHeight="1">
      <c r="A3126"/>
    </row>
    <row r="3127" spans="1:1" ht="18.75" customHeight="1">
      <c r="A3127"/>
    </row>
    <row r="3128" spans="1:1" ht="18.75" customHeight="1">
      <c r="A3128"/>
    </row>
    <row r="3129" spans="1:1" ht="18.75" customHeight="1">
      <c r="A3129"/>
    </row>
    <row r="3130" spans="1:1" ht="18.75" customHeight="1">
      <c r="A3130"/>
    </row>
    <row r="3131" spans="1:1" ht="18.75" customHeight="1">
      <c r="A3131"/>
    </row>
    <row r="3132" spans="1:1" ht="18.75" customHeight="1">
      <c r="A3132"/>
    </row>
    <row r="3133" spans="1:1" ht="18.75" customHeight="1">
      <c r="A3133"/>
    </row>
    <row r="3134" spans="1:1" ht="18.75" customHeight="1">
      <c r="A3134"/>
    </row>
    <row r="3135" spans="1:1" ht="18.75" customHeight="1">
      <c r="A3135"/>
    </row>
    <row r="3136" spans="1:1" ht="18.75" customHeight="1">
      <c r="A3136"/>
    </row>
    <row r="3137" spans="1:1" ht="18.75" customHeight="1">
      <c r="A3137"/>
    </row>
    <row r="3138" spans="1:1" ht="18.75" customHeight="1">
      <c r="A3138"/>
    </row>
    <row r="3139" spans="1:1" ht="18.75" customHeight="1">
      <c r="A3139"/>
    </row>
    <row r="3140" spans="1:1" ht="18.75" customHeight="1">
      <c r="A3140"/>
    </row>
    <row r="3141" spans="1:1" ht="18.75" customHeight="1">
      <c r="A3141"/>
    </row>
    <row r="3142" spans="1:1" ht="18.75" customHeight="1">
      <c r="A3142"/>
    </row>
    <row r="3143" spans="1:1" ht="18.75" customHeight="1">
      <c r="A3143"/>
    </row>
    <row r="3144" spans="1:1" ht="18.75" customHeight="1">
      <c r="A3144"/>
    </row>
    <row r="3145" spans="1:1" ht="18.75" customHeight="1">
      <c r="A3145"/>
    </row>
    <row r="3146" spans="1:1" ht="18.75" customHeight="1">
      <c r="A3146"/>
    </row>
    <row r="3147" spans="1:1" ht="18.75" customHeight="1">
      <c r="A3147"/>
    </row>
    <row r="3148" spans="1:1" ht="18.75" customHeight="1">
      <c r="A3148"/>
    </row>
    <row r="3149" spans="1:1" ht="18.75" customHeight="1">
      <c r="A3149"/>
    </row>
    <row r="3150" spans="1:1" ht="18.75" customHeight="1">
      <c r="A3150"/>
    </row>
    <row r="3151" spans="1:1" ht="18.75" customHeight="1">
      <c r="A3151"/>
    </row>
    <row r="3152" spans="1:1" ht="18.75" customHeight="1">
      <c r="A3152"/>
    </row>
    <row r="3153" spans="1:1" ht="18.75" customHeight="1">
      <c r="A3153"/>
    </row>
    <row r="3154" spans="1:1" ht="18.75" customHeight="1">
      <c r="A3154"/>
    </row>
    <row r="3155" spans="1:1" ht="18.75" customHeight="1">
      <c r="A3155"/>
    </row>
    <row r="3156" spans="1:1" ht="18.75" customHeight="1">
      <c r="A3156"/>
    </row>
    <row r="3157" spans="1:1" ht="18.75" customHeight="1">
      <c r="A3157"/>
    </row>
    <row r="3158" spans="1:1" ht="18.75" customHeight="1">
      <c r="A3158"/>
    </row>
    <row r="3159" spans="1:1" ht="18.75" customHeight="1">
      <c r="A3159"/>
    </row>
    <row r="3160" spans="1:1" ht="18.75" customHeight="1">
      <c r="A3160"/>
    </row>
    <row r="3161" spans="1:1" ht="18.75" customHeight="1">
      <c r="A3161"/>
    </row>
    <row r="3162" spans="1:1" ht="18.75" customHeight="1">
      <c r="A3162"/>
    </row>
    <row r="3163" spans="1:1" ht="18.75" customHeight="1">
      <c r="A3163"/>
    </row>
    <row r="3164" spans="1:1" ht="18.75" customHeight="1">
      <c r="A3164"/>
    </row>
    <row r="3165" spans="1:1" ht="18.75" customHeight="1">
      <c r="A3165"/>
    </row>
    <row r="3166" spans="1:1" ht="18.75" customHeight="1">
      <c r="A3166"/>
    </row>
    <row r="3167" spans="1:1" ht="18.75" customHeight="1">
      <c r="A3167"/>
    </row>
    <row r="3168" spans="1:1" ht="18.75" customHeight="1">
      <c r="A3168"/>
    </row>
    <row r="3169" spans="1:1" ht="18.75" customHeight="1">
      <c r="A3169"/>
    </row>
    <row r="3170" spans="1:1" ht="18.75" customHeight="1">
      <c r="A3170"/>
    </row>
    <row r="3171" spans="1:1" ht="18.75" customHeight="1">
      <c r="A3171"/>
    </row>
    <row r="3172" spans="1:1" ht="18.75" customHeight="1">
      <c r="A3172"/>
    </row>
    <row r="3173" spans="1:1" ht="18.75" customHeight="1">
      <c r="A3173"/>
    </row>
    <row r="3174" spans="1:1" ht="18.75" customHeight="1">
      <c r="A3174"/>
    </row>
    <row r="3175" spans="1:1" ht="18.75" customHeight="1">
      <c r="A3175"/>
    </row>
    <row r="3176" spans="1:1" ht="18.75" customHeight="1">
      <c r="A3176"/>
    </row>
    <row r="3177" spans="1:1" ht="18.75" customHeight="1">
      <c r="A3177"/>
    </row>
    <row r="3178" spans="1:1" ht="18.75" customHeight="1">
      <c r="A3178"/>
    </row>
    <row r="3179" spans="1:1" ht="18.75" customHeight="1">
      <c r="A3179"/>
    </row>
    <row r="3180" spans="1:1" ht="18.75" customHeight="1">
      <c r="A3180"/>
    </row>
    <row r="3181" spans="1:1" ht="18.75" customHeight="1">
      <c r="A3181"/>
    </row>
    <row r="3182" spans="1:1" ht="18.75" customHeight="1">
      <c r="A3182"/>
    </row>
    <row r="3183" spans="1:1" ht="18.75" customHeight="1">
      <c r="A3183"/>
    </row>
    <row r="3184" spans="1:1" ht="18.75" customHeight="1">
      <c r="A3184"/>
    </row>
    <row r="3185" spans="1:1" ht="18.75" customHeight="1">
      <c r="A3185"/>
    </row>
    <row r="3186" spans="1:1" ht="18.75" customHeight="1">
      <c r="A3186"/>
    </row>
    <row r="3187" spans="1:1" ht="18.75" customHeight="1">
      <c r="A3187"/>
    </row>
    <row r="3188" spans="1:1" ht="18.75" customHeight="1">
      <c r="A3188"/>
    </row>
    <row r="3189" spans="1:1" ht="18.75" customHeight="1">
      <c r="A3189"/>
    </row>
    <row r="3190" spans="1:1" ht="18.75" customHeight="1">
      <c r="A3190"/>
    </row>
    <row r="3191" spans="1:1" ht="18.75" customHeight="1">
      <c r="A3191"/>
    </row>
    <row r="3192" spans="1:1" ht="18.75" customHeight="1">
      <c r="A3192"/>
    </row>
    <row r="3193" spans="1:1" ht="18.75" customHeight="1">
      <c r="A3193"/>
    </row>
    <row r="3194" spans="1:1" ht="18.75" customHeight="1">
      <c r="A3194"/>
    </row>
    <row r="3195" spans="1:1" ht="18.75" customHeight="1">
      <c r="A3195"/>
    </row>
    <row r="3196" spans="1:1" ht="18.75" customHeight="1">
      <c r="A3196"/>
    </row>
    <row r="3197" spans="1:1" ht="18.75" customHeight="1">
      <c r="A3197"/>
    </row>
    <row r="3198" spans="1:1" ht="18.75" customHeight="1">
      <c r="A3198"/>
    </row>
    <row r="3199" spans="1:1" ht="18.75" customHeight="1">
      <c r="A3199"/>
    </row>
    <row r="3200" spans="1:1" ht="18.75" customHeight="1">
      <c r="A3200"/>
    </row>
    <row r="3201" spans="1:1" ht="18.75" customHeight="1">
      <c r="A3201"/>
    </row>
    <row r="3202" spans="1:1" ht="18.75" customHeight="1">
      <c r="A3202"/>
    </row>
    <row r="3203" spans="1:1" ht="18.75" customHeight="1">
      <c r="A3203"/>
    </row>
    <row r="3204" spans="1:1" ht="18.75" customHeight="1">
      <c r="A3204"/>
    </row>
    <row r="3205" spans="1:1" ht="18.75" customHeight="1">
      <c r="A3205"/>
    </row>
    <row r="3206" spans="1:1" ht="18.75" customHeight="1">
      <c r="A3206"/>
    </row>
    <row r="3207" spans="1:1" ht="18.75" customHeight="1">
      <c r="A3207"/>
    </row>
    <row r="3208" spans="1:1" ht="18.75" customHeight="1">
      <c r="A3208"/>
    </row>
    <row r="3209" spans="1:1" ht="18.75" customHeight="1">
      <c r="A3209"/>
    </row>
    <row r="3210" spans="1:1" ht="18.75" customHeight="1">
      <c r="A3210"/>
    </row>
    <row r="3211" spans="1:1" ht="18.75" customHeight="1">
      <c r="A3211"/>
    </row>
    <row r="3212" spans="1:1" ht="18.75" customHeight="1">
      <c r="A3212"/>
    </row>
    <row r="3213" spans="1:1" ht="18.75" customHeight="1">
      <c r="A3213"/>
    </row>
    <row r="3214" spans="1:1" ht="18.75" customHeight="1">
      <c r="A3214"/>
    </row>
    <row r="3215" spans="1:1" ht="18.75" customHeight="1">
      <c r="A3215"/>
    </row>
    <row r="3216" spans="1:1" ht="18.75" customHeight="1">
      <c r="A3216"/>
    </row>
    <row r="3217" spans="1:1" ht="18.75" customHeight="1">
      <c r="A3217"/>
    </row>
    <row r="3218" spans="1:1" ht="18.75" customHeight="1">
      <c r="A3218"/>
    </row>
    <row r="3219" spans="1:1" ht="18.75" customHeight="1">
      <c r="A3219"/>
    </row>
    <row r="3220" spans="1:1" ht="18.75" customHeight="1">
      <c r="A3220"/>
    </row>
    <row r="3221" spans="1:1" ht="18.75" customHeight="1">
      <c r="A3221"/>
    </row>
    <row r="3222" spans="1:1" ht="18.75" customHeight="1">
      <c r="A3222"/>
    </row>
    <row r="3223" spans="1:1" ht="18.75" customHeight="1">
      <c r="A3223"/>
    </row>
    <row r="3224" spans="1:1" ht="18.75" customHeight="1">
      <c r="A3224"/>
    </row>
    <row r="3225" spans="1:1" ht="18.75" customHeight="1">
      <c r="A3225"/>
    </row>
    <row r="3226" spans="1:1" ht="18.75" customHeight="1">
      <c r="A3226"/>
    </row>
    <row r="3227" spans="1:1" ht="18.75" customHeight="1">
      <c r="A3227"/>
    </row>
    <row r="3228" spans="1:1" ht="18.75" customHeight="1">
      <c r="A3228"/>
    </row>
    <row r="3229" spans="1:1" ht="18.75" customHeight="1">
      <c r="A3229"/>
    </row>
    <row r="3230" spans="1:1" ht="18.75" customHeight="1">
      <c r="A3230"/>
    </row>
    <row r="3231" spans="1:1" ht="18.75" customHeight="1">
      <c r="A3231"/>
    </row>
    <row r="3232" spans="1:1" ht="18.75" customHeight="1">
      <c r="A3232"/>
    </row>
    <row r="3233" spans="1:1" ht="18.75" customHeight="1">
      <c r="A3233"/>
    </row>
    <row r="3234" spans="1:1" ht="18.75" customHeight="1">
      <c r="A3234"/>
    </row>
    <row r="3235" spans="1:1" ht="18.75" customHeight="1">
      <c r="A3235"/>
    </row>
    <row r="3236" spans="1:1" ht="18.75" customHeight="1">
      <c r="A3236"/>
    </row>
    <row r="3237" spans="1:1" ht="18.75" customHeight="1">
      <c r="A3237"/>
    </row>
    <row r="3238" spans="1:1" ht="18.75" customHeight="1">
      <c r="A3238"/>
    </row>
    <row r="3239" spans="1:1" ht="18.75" customHeight="1">
      <c r="A3239"/>
    </row>
    <row r="3240" spans="1:1" ht="18.75" customHeight="1">
      <c r="A3240"/>
    </row>
    <row r="3241" spans="1:1" ht="18.75" customHeight="1">
      <c r="A3241"/>
    </row>
    <row r="3242" spans="1:1" ht="18.75" customHeight="1">
      <c r="A3242"/>
    </row>
    <row r="3243" spans="1:1" ht="18.75" customHeight="1">
      <c r="A3243"/>
    </row>
    <row r="3244" spans="1:1" ht="18.75" customHeight="1">
      <c r="A3244"/>
    </row>
    <row r="3245" spans="1:1" ht="18.75" customHeight="1">
      <c r="A3245"/>
    </row>
    <row r="3246" spans="1:1" ht="18.75" customHeight="1">
      <c r="A3246"/>
    </row>
    <row r="3247" spans="1:1" ht="18.75" customHeight="1">
      <c r="A3247"/>
    </row>
    <row r="3248" spans="1:1" ht="18.75" customHeight="1">
      <c r="A3248"/>
    </row>
    <row r="3249" spans="1:1" ht="18.75" customHeight="1">
      <c r="A3249"/>
    </row>
    <row r="3250" spans="1:1" ht="18.75" customHeight="1">
      <c r="A3250"/>
    </row>
    <row r="3251" spans="1:1" ht="18.75" customHeight="1">
      <c r="A3251"/>
    </row>
    <row r="3252" spans="1:1" ht="18.75" customHeight="1">
      <c r="A3252"/>
    </row>
    <row r="3253" spans="1:1" ht="18.75" customHeight="1">
      <c r="A3253"/>
    </row>
    <row r="3254" spans="1:1" ht="18.75" customHeight="1">
      <c r="A3254"/>
    </row>
    <row r="3255" spans="1:1" ht="18.75" customHeight="1">
      <c r="A3255"/>
    </row>
    <row r="3256" spans="1:1" ht="18.75" customHeight="1">
      <c r="A3256"/>
    </row>
    <row r="3257" spans="1:1" ht="18.75" customHeight="1">
      <c r="A3257"/>
    </row>
    <row r="3258" spans="1:1" ht="18.75" customHeight="1">
      <c r="A3258"/>
    </row>
    <row r="3259" spans="1:1" ht="18.75" customHeight="1">
      <c r="A3259"/>
    </row>
    <row r="3260" spans="1:1" ht="18.75" customHeight="1">
      <c r="A3260"/>
    </row>
    <row r="3261" spans="1:1" ht="18.75" customHeight="1">
      <c r="A3261"/>
    </row>
    <row r="3262" spans="1:1" ht="18.75" customHeight="1">
      <c r="A3262"/>
    </row>
    <row r="3263" spans="1:1" ht="18.75" customHeight="1">
      <c r="A3263"/>
    </row>
    <row r="3264" spans="1:1" ht="18.75" customHeight="1">
      <c r="A3264"/>
    </row>
    <row r="3265" spans="1:1" ht="18.75" customHeight="1">
      <c r="A3265"/>
    </row>
    <row r="3266" spans="1:1" ht="18.75" customHeight="1">
      <c r="A3266"/>
    </row>
    <row r="3267" spans="1:1" ht="18.75" customHeight="1">
      <c r="A3267"/>
    </row>
    <row r="3268" spans="1:1" ht="18.75" customHeight="1">
      <c r="A3268"/>
    </row>
    <row r="3269" spans="1:1" ht="18.75" customHeight="1">
      <c r="A3269"/>
    </row>
    <row r="3270" spans="1:1" ht="18.75" customHeight="1">
      <c r="A3270"/>
    </row>
    <row r="3271" spans="1:1" ht="18.75" customHeight="1">
      <c r="A3271"/>
    </row>
    <row r="3272" spans="1:1" ht="18.75" customHeight="1">
      <c r="A3272"/>
    </row>
    <row r="3273" spans="1:1" ht="18.75" customHeight="1">
      <c r="A3273"/>
    </row>
    <row r="3274" spans="1:1" ht="18.75" customHeight="1">
      <c r="A3274"/>
    </row>
    <row r="3275" spans="1:1" ht="18.75" customHeight="1">
      <c r="A3275"/>
    </row>
    <row r="3276" spans="1:1" ht="18.75" customHeight="1">
      <c r="A3276"/>
    </row>
    <row r="3277" spans="1:1" ht="18.75" customHeight="1">
      <c r="A3277"/>
    </row>
    <row r="3278" spans="1:1" ht="18.75" customHeight="1">
      <c r="A3278"/>
    </row>
    <row r="3279" spans="1:1" ht="18.75" customHeight="1">
      <c r="A3279"/>
    </row>
    <row r="3280" spans="1:1" ht="18.75" customHeight="1">
      <c r="A3280"/>
    </row>
    <row r="3281" spans="1:1" ht="18.75" customHeight="1">
      <c r="A3281"/>
    </row>
    <row r="3282" spans="1:1" ht="18.75" customHeight="1">
      <c r="A3282"/>
    </row>
    <row r="3283" spans="1:1" ht="18.75" customHeight="1">
      <c r="A3283"/>
    </row>
    <row r="3284" spans="1:1" ht="18.75" customHeight="1">
      <c r="A3284"/>
    </row>
    <row r="3285" spans="1:1" ht="18.75" customHeight="1">
      <c r="A3285"/>
    </row>
    <row r="3286" spans="1:1" ht="18.75" customHeight="1">
      <c r="A3286"/>
    </row>
    <row r="3287" spans="1:1" ht="18.75" customHeight="1">
      <c r="A3287"/>
    </row>
    <row r="3288" spans="1:1" ht="18.75" customHeight="1">
      <c r="A3288"/>
    </row>
    <row r="3289" spans="1:1" ht="18.75" customHeight="1">
      <c r="A3289"/>
    </row>
    <row r="3290" spans="1:1" ht="18.75" customHeight="1">
      <c r="A3290"/>
    </row>
    <row r="3291" spans="1:1" ht="18.75" customHeight="1">
      <c r="A3291"/>
    </row>
    <row r="3292" spans="1:1" ht="18.75" customHeight="1">
      <c r="A3292"/>
    </row>
    <row r="3293" spans="1:1" ht="18.75" customHeight="1">
      <c r="A3293"/>
    </row>
    <row r="3294" spans="1:1" ht="18.75" customHeight="1">
      <c r="A3294"/>
    </row>
    <row r="3295" spans="1:1" ht="18.75" customHeight="1">
      <c r="A3295"/>
    </row>
    <row r="3296" spans="1:1" ht="18.75" customHeight="1">
      <c r="A3296"/>
    </row>
    <row r="3297" spans="1:1" ht="18.75" customHeight="1">
      <c r="A3297"/>
    </row>
    <row r="3298" spans="1:1" ht="18.75" customHeight="1">
      <c r="A3298"/>
    </row>
    <row r="3299" spans="1:1" ht="18.75" customHeight="1">
      <c r="A3299"/>
    </row>
    <row r="3300" spans="1:1" ht="18.75" customHeight="1">
      <c r="A3300"/>
    </row>
    <row r="3301" spans="1:1" ht="18.75" customHeight="1">
      <c r="A3301"/>
    </row>
    <row r="3302" spans="1:1" ht="18.75" customHeight="1">
      <c r="A3302"/>
    </row>
    <row r="3303" spans="1:1" ht="18.75" customHeight="1">
      <c r="A3303"/>
    </row>
    <row r="3304" spans="1:1" ht="18.75" customHeight="1">
      <c r="A3304"/>
    </row>
    <row r="3305" spans="1:1" ht="18.75" customHeight="1">
      <c r="A3305"/>
    </row>
    <row r="3306" spans="1:1" ht="18.75" customHeight="1">
      <c r="A3306"/>
    </row>
    <row r="3307" spans="1:1" ht="18.75" customHeight="1">
      <c r="A3307"/>
    </row>
    <row r="3308" spans="1:1" ht="18.75" customHeight="1">
      <c r="A3308"/>
    </row>
    <row r="3309" spans="1:1" ht="18.75" customHeight="1">
      <c r="A3309"/>
    </row>
    <row r="3310" spans="1:1" ht="18.75" customHeight="1">
      <c r="A3310"/>
    </row>
    <row r="3311" spans="1:1" ht="18.75" customHeight="1">
      <c r="A3311"/>
    </row>
    <row r="3312" spans="1:1" ht="18.75" customHeight="1">
      <c r="A3312"/>
    </row>
    <row r="3313" spans="1:1" ht="18.75" customHeight="1">
      <c r="A3313"/>
    </row>
    <row r="3314" spans="1:1" ht="18.75" customHeight="1">
      <c r="A3314"/>
    </row>
    <row r="3315" spans="1:1" ht="18.75" customHeight="1">
      <c r="A3315"/>
    </row>
    <row r="3316" spans="1:1" ht="18.75" customHeight="1">
      <c r="A3316"/>
    </row>
    <row r="3317" spans="1:1" ht="18.75" customHeight="1">
      <c r="A3317"/>
    </row>
    <row r="3318" spans="1:1" ht="18.75" customHeight="1">
      <c r="A3318"/>
    </row>
    <row r="3319" spans="1:1" ht="18.75" customHeight="1">
      <c r="A3319"/>
    </row>
    <row r="3320" spans="1:1" ht="18.75" customHeight="1">
      <c r="A3320"/>
    </row>
    <row r="3321" spans="1:1" ht="18.75" customHeight="1">
      <c r="A3321"/>
    </row>
    <row r="3322" spans="1:1" ht="18.75" customHeight="1">
      <c r="A3322"/>
    </row>
    <row r="3323" spans="1:1" ht="18.75" customHeight="1">
      <c r="A3323"/>
    </row>
    <row r="3324" spans="1:1" ht="18.75" customHeight="1">
      <c r="A3324"/>
    </row>
    <row r="3325" spans="1:1" ht="18.75" customHeight="1">
      <c r="A3325"/>
    </row>
    <row r="3326" spans="1:1" ht="18.75" customHeight="1">
      <c r="A3326"/>
    </row>
    <row r="3327" spans="1:1" ht="18.75" customHeight="1">
      <c r="A3327"/>
    </row>
    <row r="3328" spans="1:1" ht="18.75" customHeight="1">
      <c r="A3328"/>
    </row>
    <row r="3329" spans="1:1" ht="18.75" customHeight="1">
      <c r="A3329"/>
    </row>
    <row r="3330" spans="1:1" ht="18.75" customHeight="1">
      <c r="A3330"/>
    </row>
    <row r="3331" spans="1:1" ht="18.75" customHeight="1">
      <c r="A3331"/>
    </row>
    <row r="3332" spans="1:1" ht="18.75" customHeight="1">
      <c r="A3332"/>
    </row>
    <row r="3333" spans="1:1" ht="18.75" customHeight="1">
      <c r="A3333"/>
    </row>
    <row r="3334" spans="1:1" ht="18.75" customHeight="1">
      <c r="A3334"/>
    </row>
    <row r="3335" spans="1:1" ht="18.75" customHeight="1">
      <c r="A3335"/>
    </row>
    <row r="3336" spans="1:1" ht="18.75" customHeight="1">
      <c r="A3336"/>
    </row>
    <row r="3337" spans="1:1" ht="18.75" customHeight="1">
      <c r="A3337"/>
    </row>
    <row r="3338" spans="1:1" ht="18.75" customHeight="1">
      <c r="A3338"/>
    </row>
    <row r="3339" spans="1:1" ht="18.75" customHeight="1">
      <c r="A3339"/>
    </row>
    <row r="3340" spans="1:1" ht="18.75" customHeight="1">
      <c r="A3340"/>
    </row>
    <row r="3341" spans="1:1" ht="18.75" customHeight="1">
      <c r="A3341"/>
    </row>
    <row r="3342" spans="1:1" ht="18.75" customHeight="1">
      <c r="A3342"/>
    </row>
    <row r="3343" spans="1:1" ht="18.75" customHeight="1">
      <c r="A3343"/>
    </row>
    <row r="3344" spans="1:1" ht="18.75" customHeight="1">
      <c r="A3344"/>
    </row>
    <row r="3345" spans="1:1" ht="18.75" customHeight="1">
      <c r="A3345"/>
    </row>
    <row r="3346" spans="1:1" ht="18.75" customHeight="1">
      <c r="A3346"/>
    </row>
    <row r="3347" spans="1:1" ht="18.75" customHeight="1">
      <c r="A3347"/>
    </row>
    <row r="3348" spans="1:1" ht="18.75" customHeight="1">
      <c r="A3348"/>
    </row>
    <row r="3349" spans="1:1" ht="18.75" customHeight="1">
      <c r="A3349"/>
    </row>
    <row r="3350" spans="1:1" ht="18.75" customHeight="1">
      <c r="A3350"/>
    </row>
    <row r="3351" spans="1:1" ht="18.75" customHeight="1">
      <c r="A3351"/>
    </row>
    <row r="3352" spans="1:1" ht="18.75" customHeight="1">
      <c r="A3352"/>
    </row>
    <row r="3353" spans="1:1" ht="18.75" customHeight="1">
      <c r="A3353"/>
    </row>
    <row r="3354" spans="1:1" ht="18.75" customHeight="1">
      <c r="A3354"/>
    </row>
    <row r="3355" spans="1:1" ht="18.75" customHeight="1">
      <c r="A3355"/>
    </row>
    <row r="3356" spans="1:1" ht="18.75" customHeight="1">
      <c r="A3356"/>
    </row>
    <row r="3357" spans="1:1" ht="18.75" customHeight="1">
      <c r="A3357"/>
    </row>
    <row r="3358" spans="1:1" ht="18.75" customHeight="1">
      <c r="A3358"/>
    </row>
    <row r="3359" spans="1:1" ht="18.75" customHeight="1">
      <c r="A3359"/>
    </row>
    <row r="3360" spans="1:1" ht="18.75" customHeight="1">
      <c r="A3360"/>
    </row>
    <row r="3361" spans="1:1" ht="18.75" customHeight="1">
      <c r="A3361"/>
    </row>
    <row r="3362" spans="1:1" ht="18.75" customHeight="1">
      <c r="A3362"/>
    </row>
    <row r="3363" spans="1:1" ht="18.75" customHeight="1">
      <c r="A3363"/>
    </row>
    <row r="3364" spans="1:1" ht="18.75" customHeight="1">
      <c r="A3364"/>
    </row>
    <row r="3365" spans="1:1" ht="18.75" customHeight="1">
      <c r="A3365"/>
    </row>
    <row r="3366" spans="1:1" ht="18.75" customHeight="1">
      <c r="A3366"/>
    </row>
    <row r="3367" spans="1:1" ht="18.75" customHeight="1">
      <c r="A3367"/>
    </row>
    <row r="3368" spans="1:1" ht="18.75" customHeight="1">
      <c r="A3368"/>
    </row>
    <row r="3369" spans="1:1" ht="18.75" customHeight="1">
      <c r="A3369"/>
    </row>
    <row r="3370" spans="1:1" ht="18.75" customHeight="1">
      <c r="A3370"/>
    </row>
    <row r="3371" spans="1:1" ht="18.75" customHeight="1">
      <c r="A3371"/>
    </row>
    <row r="3372" spans="1:1" ht="18.75" customHeight="1">
      <c r="A3372"/>
    </row>
    <row r="3373" spans="1:1" ht="18.75" customHeight="1">
      <c r="A3373"/>
    </row>
    <row r="3374" spans="1:1" ht="18.75" customHeight="1">
      <c r="A3374"/>
    </row>
    <row r="3375" spans="1:1" ht="18.75" customHeight="1">
      <c r="A3375"/>
    </row>
    <row r="3376" spans="1:1" ht="18.75" customHeight="1">
      <c r="A3376"/>
    </row>
    <row r="3377" spans="1:1" ht="18.75" customHeight="1">
      <c r="A3377"/>
    </row>
    <row r="3378" spans="1:1" ht="18.75" customHeight="1">
      <c r="A3378"/>
    </row>
    <row r="3379" spans="1:1" ht="18.75" customHeight="1">
      <c r="A3379"/>
    </row>
    <row r="3380" spans="1:1" ht="18.75" customHeight="1">
      <c r="A3380"/>
    </row>
    <row r="3381" spans="1:1" ht="18.75" customHeight="1">
      <c r="A3381"/>
    </row>
    <row r="3382" spans="1:1" ht="18.75" customHeight="1">
      <c r="A3382"/>
    </row>
    <row r="3383" spans="1:1" ht="18.75" customHeight="1">
      <c r="A3383"/>
    </row>
    <row r="3384" spans="1:1" ht="18.75" customHeight="1">
      <c r="A3384"/>
    </row>
    <row r="3385" spans="1:1" ht="18.75" customHeight="1">
      <c r="A3385"/>
    </row>
    <row r="3386" spans="1:1" ht="18.75" customHeight="1">
      <c r="A3386"/>
    </row>
    <row r="3387" spans="1:1" ht="18.75" customHeight="1">
      <c r="A3387"/>
    </row>
    <row r="3388" spans="1:1" ht="18.75" customHeight="1">
      <c r="A3388"/>
    </row>
    <row r="3389" spans="1:1" ht="18.75" customHeight="1">
      <c r="A3389"/>
    </row>
    <row r="3390" spans="1:1" ht="18.75" customHeight="1">
      <c r="A3390"/>
    </row>
    <row r="3391" spans="1:1" ht="18.75" customHeight="1">
      <c r="A3391"/>
    </row>
    <row r="3392" spans="1:1" ht="18.75" customHeight="1">
      <c r="A3392"/>
    </row>
    <row r="3393" spans="1:1" ht="18.75" customHeight="1">
      <c r="A3393"/>
    </row>
    <row r="3394" spans="1:1" ht="18.75" customHeight="1">
      <c r="A3394"/>
    </row>
    <row r="3395" spans="1:1" ht="18.75" customHeight="1">
      <c r="A3395"/>
    </row>
    <row r="3396" spans="1:1" ht="18.75" customHeight="1">
      <c r="A3396"/>
    </row>
    <row r="3397" spans="1:1" ht="18.75" customHeight="1">
      <c r="A3397"/>
    </row>
    <row r="3398" spans="1:1" ht="18.75" customHeight="1">
      <c r="A3398"/>
    </row>
    <row r="3399" spans="1:1" ht="18.75" customHeight="1">
      <c r="A3399"/>
    </row>
    <row r="3400" spans="1:1" ht="18.75" customHeight="1">
      <c r="A3400"/>
    </row>
    <row r="3401" spans="1:1" ht="18.75" customHeight="1">
      <c r="A3401"/>
    </row>
    <row r="3402" spans="1:1" ht="18.75" customHeight="1">
      <c r="A3402"/>
    </row>
    <row r="3403" spans="1:1" ht="18.75" customHeight="1">
      <c r="A3403"/>
    </row>
    <row r="3404" spans="1:1" ht="18.75" customHeight="1">
      <c r="A3404"/>
    </row>
    <row r="3405" spans="1:1" ht="18.75" customHeight="1">
      <c r="A3405"/>
    </row>
    <row r="3406" spans="1:1" ht="18.75" customHeight="1">
      <c r="A3406"/>
    </row>
    <row r="3407" spans="1:1" ht="18.75" customHeight="1">
      <c r="A3407"/>
    </row>
    <row r="3408" spans="1:1" ht="18.75" customHeight="1">
      <c r="A3408"/>
    </row>
    <row r="3409" spans="1:1" ht="18.75" customHeight="1">
      <c r="A3409"/>
    </row>
    <row r="3410" spans="1:1" ht="18.75" customHeight="1">
      <c r="A3410"/>
    </row>
    <row r="3411" spans="1:1" ht="18.75" customHeight="1">
      <c r="A3411"/>
    </row>
    <row r="3412" spans="1:1" ht="18.75" customHeight="1">
      <c r="A3412"/>
    </row>
    <row r="3413" spans="1:1" ht="18.75" customHeight="1">
      <c r="A3413"/>
    </row>
    <row r="3414" spans="1:1" ht="18.75" customHeight="1">
      <c r="A3414"/>
    </row>
    <row r="3415" spans="1:1" ht="18.75" customHeight="1">
      <c r="A3415"/>
    </row>
    <row r="3416" spans="1:1" ht="18.75" customHeight="1">
      <c r="A3416"/>
    </row>
    <row r="3417" spans="1:1" ht="18.75" customHeight="1">
      <c r="A3417"/>
    </row>
    <row r="3418" spans="1:1" ht="18.75" customHeight="1">
      <c r="A3418"/>
    </row>
    <row r="3419" spans="1:1" ht="18.75" customHeight="1">
      <c r="A3419"/>
    </row>
    <row r="3420" spans="1:1" ht="18.75" customHeight="1">
      <c r="A3420"/>
    </row>
    <row r="3421" spans="1:1" ht="18.75" customHeight="1">
      <c r="A3421"/>
    </row>
    <row r="3422" spans="1:1" ht="18.75" customHeight="1">
      <c r="A3422"/>
    </row>
    <row r="3423" spans="1:1" ht="18.75" customHeight="1">
      <c r="A3423"/>
    </row>
    <row r="3424" spans="1:1" ht="18.75" customHeight="1">
      <c r="A3424"/>
    </row>
    <row r="3425" spans="1:1" ht="18.75" customHeight="1">
      <c r="A3425"/>
    </row>
    <row r="3426" spans="1:1" ht="18.75" customHeight="1">
      <c r="A3426"/>
    </row>
    <row r="3427" spans="1:1" ht="18.75" customHeight="1">
      <c r="A3427"/>
    </row>
    <row r="3428" spans="1:1" ht="18.75" customHeight="1">
      <c r="A3428"/>
    </row>
    <row r="3429" spans="1:1" ht="18.75" customHeight="1">
      <c r="A3429"/>
    </row>
    <row r="3430" spans="1:1" ht="18.75" customHeight="1">
      <c r="A3430"/>
    </row>
    <row r="3431" spans="1:1" ht="18.75" customHeight="1">
      <c r="A3431"/>
    </row>
    <row r="3432" spans="1:1" ht="18.75" customHeight="1">
      <c r="A3432"/>
    </row>
    <row r="3433" spans="1:1" ht="18.75" customHeight="1">
      <c r="A3433"/>
    </row>
    <row r="3434" spans="1:1" ht="18.75" customHeight="1">
      <c r="A3434"/>
    </row>
    <row r="3435" spans="1:1" ht="18.75" customHeight="1">
      <c r="A3435"/>
    </row>
    <row r="3436" spans="1:1" ht="18.75" customHeight="1">
      <c r="A3436"/>
    </row>
    <row r="3437" spans="1:1" ht="18.75" customHeight="1">
      <c r="A3437"/>
    </row>
    <row r="3438" spans="1:1" ht="18.75" customHeight="1">
      <c r="A3438"/>
    </row>
    <row r="3439" spans="1:1" ht="18.75" customHeight="1">
      <c r="A3439"/>
    </row>
    <row r="3440" spans="1:1" ht="18.75" customHeight="1">
      <c r="A3440"/>
    </row>
    <row r="3441" spans="1:1" ht="18.75" customHeight="1">
      <c r="A3441"/>
    </row>
    <row r="3442" spans="1:1" ht="18.75" customHeight="1">
      <c r="A3442"/>
    </row>
    <row r="3443" spans="1:1" ht="18.75" customHeight="1">
      <c r="A3443"/>
    </row>
    <row r="3444" spans="1:1" ht="18.75" customHeight="1">
      <c r="A3444"/>
    </row>
    <row r="3445" spans="1:1" ht="18.75" customHeight="1">
      <c r="A3445"/>
    </row>
    <row r="3446" spans="1:1" ht="18.75" customHeight="1">
      <c r="A3446"/>
    </row>
    <row r="3447" spans="1:1" ht="18.75" customHeight="1">
      <c r="A3447"/>
    </row>
    <row r="3448" spans="1:1" ht="18.75" customHeight="1">
      <c r="A3448"/>
    </row>
    <row r="3449" spans="1:1" ht="18.75" customHeight="1">
      <c r="A3449"/>
    </row>
    <row r="3450" spans="1:1" ht="18.75" customHeight="1">
      <c r="A3450"/>
    </row>
    <row r="3451" spans="1:1" ht="18.75" customHeight="1">
      <c r="A3451"/>
    </row>
    <row r="3452" spans="1:1" ht="18.75" customHeight="1">
      <c r="A3452"/>
    </row>
    <row r="3453" spans="1:1" ht="18.75" customHeight="1">
      <c r="A3453"/>
    </row>
    <row r="3454" spans="1:1" ht="18.75" customHeight="1">
      <c r="A3454"/>
    </row>
    <row r="3455" spans="1:1" ht="18.75" customHeight="1">
      <c r="A3455"/>
    </row>
    <row r="3456" spans="1:1" ht="18.75" customHeight="1">
      <c r="A3456"/>
    </row>
    <row r="3457" spans="1:1" ht="18.75" customHeight="1">
      <c r="A3457"/>
    </row>
    <row r="3458" spans="1:1" ht="18.75" customHeight="1">
      <c r="A3458"/>
    </row>
    <row r="3459" spans="1:1" ht="18.75" customHeight="1">
      <c r="A3459"/>
    </row>
    <row r="3460" spans="1:1" ht="18.75" customHeight="1">
      <c r="A3460"/>
    </row>
    <row r="3461" spans="1:1" ht="18.75" customHeight="1">
      <c r="A3461"/>
    </row>
    <row r="3462" spans="1:1" ht="18.75" customHeight="1">
      <c r="A3462"/>
    </row>
    <row r="3463" spans="1:1" ht="18.75" customHeight="1">
      <c r="A3463"/>
    </row>
    <row r="3464" spans="1:1" ht="18.75" customHeight="1">
      <c r="A3464"/>
    </row>
    <row r="3465" spans="1:1" ht="18.75" customHeight="1">
      <c r="A3465"/>
    </row>
    <row r="3466" spans="1:1" ht="18.75" customHeight="1">
      <c r="A3466"/>
    </row>
    <row r="3467" spans="1:1" ht="18.75" customHeight="1">
      <c r="A3467"/>
    </row>
    <row r="3468" spans="1:1" ht="18.75" customHeight="1">
      <c r="A3468"/>
    </row>
    <row r="3469" spans="1:1" ht="18.75" customHeight="1">
      <c r="A3469"/>
    </row>
    <row r="3470" spans="1:1" ht="18.75" customHeight="1">
      <c r="A3470"/>
    </row>
    <row r="3471" spans="1:1" ht="18.75" customHeight="1">
      <c r="A3471"/>
    </row>
    <row r="3472" spans="1:1" ht="18.75" customHeight="1">
      <c r="A3472"/>
    </row>
    <row r="3473" spans="1:1" ht="18.75" customHeight="1">
      <c r="A3473"/>
    </row>
    <row r="3474" spans="1:1" ht="18.75" customHeight="1">
      <c r="A3474"/>
    </row>
    <row r="3475" spans="1:1" ht="18.75" customHeight="1">
      <c r="A3475"/>
    </row>
    <row r="3476" spans="1:1" ht="18.75" customHeight="1">
      <c r="A3476"/>
    </row>
    <row r="3477" spans="1:1" ht="18.75" customHeight="1">
      <c r="A3477"/>
    </row>
    <row r="3478" spans="1:1" ht="18.75" customHeight="1">
      <c r="A3478"/>
    </row>
    <row r="3479" spans="1:1" ht="18.75" customHeight="1">
      <c r="A3479"/>
    </row>
    <row r="3480" spans="1:1" ht="18.75" customHeight="1">
      <c r="A3480"/>
    </row>
    <row r="3481" spans="1:1" ht="18.75" customHeight="1">
      <c r="A3481"/>
    </row>
    <row r="3482" spans="1:1" ht="18.75" customHeight="1">
      <c r="A3482"/>
    </row>
    <row r="3483" spans="1:1" ht="18.75" customHeight="1">
      <c r="A3483"/>
    </row>
    <row r="3484" spans="1:1" ht="18.75" customHeight="1">
      <c r="A3484"/>
    </row>
    <row r="3485" spans="1:1" ht="18.75" customHeight="1">
      <c r="A3485"/>
    </row>
    <row r="3486" spans="1:1" ht="18.75" customHeight="1">
      <c r="A3486"/>
    </row>
    <row r="3487" spans="1:1" ht="18.75" customHeight="1">
      <c r="A3487"/>
    </row>
    <row r="3488" spans="1:1" ht="18.75" customHeight="1">
      <c r="A3488"/>
    </row>
    <row r="3489" spans="1:1" ht="18.75" customHeight="1">
      <c r="A3489"/>
    </row>
    <row r="3490" spans="1:1" ht="18.75" customHeight="1">
      <c r="A3490"/>
    </row>
    <row r="3491" spans="1:1" ht="18.75" customHeight="1">
      <c r="A3491"/>
    </row>
    <row r="3492" spans="1:1" ht="18.75" customHeight="1">
      <c r="A3492"/>
    </row>
    <row r="3493" spans="1:1" ht="18.75" customHeight="1">
      <c r="A3493"/>
    </row>
    <row r="3494" spans="1:1" ht="18.75" customHeight="1">
      <c r="A3494"/>
    </row>
    <row r="3495" spans="1:1" ht="18.75" customHeight="1">
      <c r="A3495"/>
    </row>
    <row r="3496" spans="1:1" ht="18.75" customHeight="1">
      <c r="A3496"/>
    </row>
    <row r="3497" spans="1:1" ht="18.75" customHeight="1">
      <c r="A3497"/>
    </row>
    <row r="3498" spans="1:1" ht="18.75" customHeight="1">
      <c r="A3498"/>
    </row>
    <row r="3499" spans="1:1" ht="18.75" customHeight="1">
      <c r="A3499"/>
    </row>
    <row r="3500" spans="1:1" ht="18.75" customHeight="1">
      <c r="A3500"/>
    </row>
    <row r="3501" spans="1:1" ht="18.75" customHeight="1">
      <c r="A3501"/>
    </row>
    <row r="3502" spans="1:1" ht="18.75" customHeight="1">
      <c r="A3502"/>
    </row>
    <row r="3503" spans="1:1" ht="18.75" customHeight="1">
      <c r="A3503"/>
    </row>
    <row r="3504" spans="1:1" ht="18.75" customHeight="1">
      <c r="A3504"/>
    </row>
    <row r="3505" spans="1:1" ht="18.75" customHeight="1">
      <c r="A3505"/>
    </row>
    <row r="3506" spans="1:1" ht="18.75" customHeight="1">
      <c r="A3506"/>
    </row>
    <row r="3507" spans="1:1" ht="18.75" customHeight="1">
      <c r="A3507"/>
    </row>
    <row r="3508" spans="1:1" ht="18.75" customHeight="1">
      <c r="A3508"/>
    </row>
    <row r="3509" spans="1:1" ht="18.75" customHeight="1">
      <c r="A3509"/>
    </row>
    <row r="3510" spans="1:1" ht="18.75" customHeight="1">
      <c r="A3510"/>
    </row>
    <row r="3511" spans="1:1" ht="18.75" customHeight="1">
      <c r="A3511"/>
    </row>
    <row r="3512" spans="1:1" ht="18.75" customHeight="1">
      <c r="A3512"/>
    </row>
    <row r="3513" spans="1:1" ht="18.75" customHeight="1">
      <c r="A3513"/>
    </row>
    <row r="3514" spans="1:1" ht="18.75" customHeight="1">
      <c r="A3514"/>
    </row>
    <row r="3515" spans="1:1" ht="18.75" customHeight="1">
      <c r="A3515"/>
    </row>
    <row r="3516" spans="1:1" ht="18.75" customHeight="1">
      <c r="A3516"/>
    </row>
    <row r="3517" spans="1:1" ht="18.75" customHeight="1">
      <c r="A3517"/>
    </row>
    <row r="3518" spans="1:1" ht="18.75" customHeight="1">
      <c r="A3518"/>
    </row>
    <row r="3519" spans="1:1" ht="18.75" customHeight="1">
      <c r="A3519"/>
    </row>
    <row r="3520" spans="1:1" ht="18.75" customHeight="1">
      <c r="A3520"/>
    </row>
    <row r="3521" spans="1:1" ht="18.75" customHeight="1">
      <c r="A3521"/>
    </row>
    <row r="3522" spans="1:1" ht="18.75" customHeight="1">
      <c r="A3522"/>
    </row>
    <row r="3523" spans="1:1" ht="18.75" customHeight="1">
      <c r="A3523"/>
    </row>
    <row r="3524" spans="1:1" ht="18.75" customHeight="1">
      <c r="A3524"/>
    </row>
    <row r="3525" spans="1:1" ht="18.75" customHeight="1">
      <c r="A3525"/>
    </row>
    <row r="3526" spans="1:1" ht="18.75" customHeight="1">
      <c r="A3526"/>
    </row>
    <row r="3527" spans="1:1" ht="18.75" customHeight="1">
      <c r="A3527"/>
    </row>
    <row r="3528" spans="1:1" ht="18.75" customHeight="1">
      <c r="A3528"/>
    </row>
    <row r="3529" spans="1:1" ht="18.75" customHeight="1">
      <c r="A3529"/>
    </row>
    <row r="3530" spans="1:1" ht="18.75" customHeight="1">
      <c r="A3530"/>
    </row>
    <row r="3531" spans="1:1" ht="18.75" customHeight="1">
      <c r="A3531"/>
    </row>
    <row r="3532" spans="1:1" ht="18.75" customHeight="1">
      <c r="A3532"/>
    </row>
    <row r="3533" spans="1:1" ht="18.75" customHeight="1">
      <c r="A3533"/>
    </row>
    <row r="3534" spans="1:1" ht="18.75" customHeight="1">
      <c r="A3534"/>
    </row>
    <row r="3535" spans="1:1" ht="18.75" customHeight="1">
      <c r="A3535"/>
    </row>
    <row r="3536" spans="1:1" ht="18.75" customHeight="1">
      <c r="A3536"/>
    </row>
    <row r="3537" spans="1:1" ht="18.75" customHeight="1">
      <c r="A3537"/>
    </row>
    <row r="3538" spans="1:1" ht="18.75" customHeight="1">
      <c r="A3538"/>
    </row>
    <row r="3539" spans="1:1" ht="18.75" customHeight="1">
      <c r="A3539"/>
    </row>
    <row r="3540" spans="1:1" ht="18.75" customHeight="1">
      <c r="A3540"/>
    </row>
    <row r="3541" spans="1:1" ht="18.75" customHeight="1">
      <c r="A3541"/>
    </row>
    <row r="3542" spans="1:1" ht="18.75" customHeight="1">
      <c r="A3542"/>
    </row>
    <row r="3543" spans="1:1" ht="18.75" customHeight="1">
      <c r="A3543"/>
    </row>
    <row r="3544" spans="1:1" ht="18.75" customHeight="1">
      <c r="A3544"/>
    </row>
    <row r="3545" spans="1:1" ht="18.75" customHeight="1">
      <c r="A3545"/>
    </row>
    <row r="3546" spans="1:1" ht="18.75" customHeight="1">
      <c r="A3546"/>
    </row>
    <row r="3547" spans="1:1" ht="18.75" customHeight="1">
      <c r="A3547"/>
    </row>
    <row r="3548" spans="1:1" ht="18.75" customHeight="1">
      <c r="A3548"/>
    </row>
    <row r="3549" spans="1:1" ht="18.75" customHeight="1">
      <c r="A3549"/>
    </row>
    <row r="3550" spans="1:1" ht="18.75" customHeight="1">
      <c r="A3550"/>
    </row>
    <row r="3551" spans="1:1" ht="18.75" customHeight="1">
      <c r="A3551"/>
    </row>
    <row r="3552" spans="1:1" ht="18.75" customHeight="1">
      <c r="A3552"/>
    </row>
    <row r="3553" spans="1:1" ht="18.75" customHeight="1">
      <c r="A3553"/>
    </row>
    <row r="3554" spans="1:1" ht="18.75" customHeight="1">
      <c r="A3554"/>
    </row>
    <row r="3555" spans="1:1" ht="18.75" customHeight="1">
      <c r="A3555"/>
    </row>
    <row r="3556" spans="1:1" ht="18.75" customHeight="1">
      <c r="A3556"/>
    </row>
    <row r="3557" spans="1:1" ht="18.75" customHeight="1">
      <c r="A3557"/>
    </row>
    <row r="3558" spans="1:1" ht="18.75" customHeight="1">
      <c r="A3558"/>
    </row>
    <row r="3559" spans="1:1" ht="18.75" customHeight="1">
      <c r="A3559"/>
    </row>
    <row r="3560" spans="1:1" ht="18.75" customHeight="1">
      <c r="A3560"/>
    </row>
    <row r="3561" spans="1:1" ht="18.75" customHeight="1">
      <c r="A3561"/>
    </row>
    <row r="3562" spans="1:1" ht="18.75" customHeight="1">
      <c r="A3562"/>
    </row>
    <row r="3563" spans="1:1" ht="18.75" customHeight="1">
      <c r="A3563"/>
    </row>
    <row r="3564" spans="1:1" ht="18.75" customHeight="1">
      <c r="A3564"/>
    </row>
    <row r="3565" spans="1:1" ht="18.75" customHeight="1">
      <c r="A3565"/>
    </row>
    <row r="3566" spans="1:1" ht="18.75" customHeight="1">
      <c r="A3566"/>
    </row>
    <row r="3567" spans="1:1" ht="18.75" customHeight="1">
      <c r="A3567"/>
    </row>
    <row r="3568" spans="1:1" ht="18.75" customHeight="1">
      <c r="A3568"/>
    </row>
    <row r="3569" spans="1:1" ht="18.75" customHeight="1">
      <c r="A3569"/>
    </row>
    <row r="3570" spans="1:1" ht="18.75" customHeight="1">
      <c r="A3570"/>
    </row>
    <row r="3571" spans="1:1" ht="18.75" customHeight="1">
      <c r="A3571"/>
    </row>
    <row r="3572" spans="1:1" ht="18.75" customHeight="1">
      <c r="A3572"/>
    </row>
    <row r="3573" spans="1:1" ht="18.75" customHeight="1">
      <c r="A3573"/>
    </row>
    <row r="3574" spans="1:1" ht="18.75" customHeight="1">
      <c r="A3574"/>
    </row>
    <row r="3575" spans="1:1" ht="18.75" customHeight="1">
      <c r="A3575"/>
    </row>
    <row r="3576" spans="1:1" ht="18.75" customHeight="1">
      <c r="A3576"/>
    </row>
    <row r="3577" spans="1:1" ht="18.75" customHeight="1">
      <c r="A3577"/>
    </row>
    <row r="3578" spans="1:1" ht="18.75" customHeight="1">
      <c r="A3578"/>
    </row>
    <row r="3579" spans="1:1" ht="18.75" customHeight="1">
      <c r="A3579"/>
    </row>
    <row r="3580" spans="1:1" ht="18.75" customHeight="1">
      <c r="A3580"/>
    </row>
    <row r="3581" spans="1:1" ht="18.75" customHeight="1">
      <c r="A3581"/>
    </row>
    <row r="3582" spans="1:1" ht="18.75" customHeight="1">
      <c r="A3582"/>
    </row>
    <row r="3583" spans="1:1" ht="18.75" customHeight="1">
      <c r="A3583"/>
    </row>
    <row r="3584" spans="1:1" ht="18.75" customHeight="1">
      <c r="A3584"/>
    </row>
    <row r="3585" spans="1:1" ht="18.75" customHeight="1">
      <c r="A3585"/>
    </row>
    <row r="3586" spans="1:1" ht="18.75" customHeight="1">
      <c r="A3586"/>
    </row>
    <row r="3587" spans="1:1" ht="18.75" customHeight="1">
      <c r="A3587"/>
    </row>
    <row r="3588" spans="1:1" ht="18.75" customHeight="1">
      <c r="A3588"/>
    </row>
    <row r="3589" spans="1:1" ht="18.75" customHeight="1">
      <c r="A3589"/>
    </row>
    <row r="3590" spans="1:1" ht="18.75" customHeight="1">
      <c r="A3590"/>
    </row>
    <row r="3591" spans="1:1" ht="18.75" customHeight="1">
      <c r="A3591"/>
    </row>
    <row r="3592" spans="1:1" ht="18.75" customHeight="1">
      <c r="A3592"/>
    </row>
    <row r="3593" spans="1:1" ht="18.75" customHeight="1">
      <c r="A3593"/>
    </row>
    <row r="3594" spans="1:1" ht="18.75" customHeight="1">
      <c r="A3594"/>
    </row>
    <row r="3595" spans="1:1" ht="18.75" customHeight="1">
      <c r="A3595"/>
    </row>
    <row r="3596" spans="1:1" ht="18.75" customHeight="1">
      <c r="A3596"/>
    </row>
    <row r="3597" spans="1:1" ht="18.75" customHeight="1">
      <c r="A3597"/>
    </row>
    <row r="3598" spans="1:1" ht="18.75" customHeight="1">
      <c r="A3598"/>
    </row>
    <row r="3599" spans="1:1" ht="18.75" customHeight="1">
      <c r="A3599"/>
    </row>
    <row r="3600" spans="1:1" ht="18.75" customHeight="1">
      <c r="A3600"/>
    </row>
    <row r="3601" spans="1:1" ht="18.75" customHeight="1">
      <c r="A3601"/>
    </row>
    <row r="3602" spans="1:1" ht="18.75" customHeight="1">
      <c r="A3602"/>
    </row>
    <row r="3603" spans="1:1" ht="18.75" customHeight="1">
      <c r="A3603"/>
    </row>
    <row r="3604" spans="1:1" ht="18.75" customHeight="1">
      <c r="A3604"/>
    </row>
    <row r="3605" spans="1:1" ht="18.75" customHeight="1">
      <c r="A3605"/>
    </row>
    <row r="3606" spans="1:1" ht="18.75" customHeight="1">
      <c r="A3606"/>
    </row>
    <row r="3607" spans="1:1" ht="18.75" customHeight="1">
      <c r="A3607"/>
    </row>
    <row r="3608" spans="1:1" ht="18.75" customHeight="1">
      <c r="A3608"/>
    </row>
    <row r="3609" spans="1:1" ht="18.75" customHeight="1">
      <c r="A3609"/>
    </row>
    <row r="3610" spans="1:1" ht="18.75" customHeight="1">
      <c r="A3610"/>
    </row>
    <row r="3611" spans="1:1" ht="18.75" customHeight="1">
      <c r="A3611"/>
    </row>
    <row r="3612" spans="1:1" ht="18.75" customHeight="1">
      <c r="A3612"/>
    </row>
    <row r="3613" spans="1:1" ht="18.75" customHeight="1">
      <c r="A3613"/>
    </row>
    <row r="3614" spans="1:1" ht="18.75" customHeight="1">
      <c r="A3614"/>
    </row>
    <row r="3615" spans="1:1" ht="18.75" customHeight="1">
      <c r="A3615"/>
    </row>
    <row r="3616" spans="1:1" ht="18.75" customHeight="1">
      <c r="A3616"/>
    </row>
    <row r="3617" spans="1:1" ht="18.75" customHeight="1">
      <c r="A3617"/>
    </row>
    <row r="3618" spans="1:1" ht="18.75" customHeight="1">
      <c r="A3618"/>
    </row>
    <row r="3619" spans="1:1" ht="18.75" customHeight="1">
      <c r="A3619"/>
    </row>
    <row r="3620" spans="1:1" ht="18.75" customHeight="1">
      <c r="A3620"/>
    </row>
    <row r="3621" spans="1:1" ht="18.75" customHeight="1">
      <c r="A3621"/>
    </row>
    <row r="3622" spans="1:1" ht="18.75" customHeight="1">
      <c r="A3622"/>
    </row>
    <row r="3623" spans="1:1" ht="18.75" customHeight="1">
      <c r="A3623"/>
    </row>
    <row r="3624" spans="1:1" ht="18.75" customHeight="1">
      <c r="A3624"/>
    </row>
    <row r="3625" spans="1:1" ht="18.75" customHeight="1">
      <c r="A3625"/>
    </row>
    <row r="3626" spans="1:1" ht="18.75" customHeight="1">
      <c r="A3626"/>
    </row>
    <row r="3627" spans="1:1" ht="18.75" customHeight="1">
      <c r="A3627"/>
    </row>
    <row r="3628" spans="1:1" ht="18.75" customHeight="1">
      <c r="A3628"/>
    </row>
    <row r="3629" spans="1:1" ht="18.75" customHeight="1">
      <c r="A3629"/>
    </row>
    <row r="3630" spans="1:1" ht="18.75" customHeight="1">
      <c r="A3630"/>
    </row>
    <row r="3631" spans="1:1" ht="18.75" customHeight="1">
      <c r="A3631"/>
    </row>
    <row r="3632" spans="1:1" ht="18.75" customHeight="1">
      <c r="A3632"/>
    </row>
    <row r="3633" spans="1:1" ht="18.75" customHeight="1">
      <c r="A3633"/>
    </row>
    <row r="3634" spans="1:1" ht="18.75" customHeight="1">
      <c r="A3634"/>
    </row>
    <row r="3635" spans="1:1" ht="18.75" customHeight="1">
      <c r="A3635"/>
    </row>
    <row r="3636" spans="1:1" ht="18.75" customHeight="1">
      <c r="A3636"/>
    </row>
    <row r="3637" spans="1:1" ht="18.75" customHeight="1">
      <c r="A3637"/>
    </row>
    <row r="3638" spans="1:1" ht="18.75" customHeight="1">
      <c r="A3638"/>
    </row>
    <row r="3639" spans="1:1" ht="18.75" customHeight="1">
      <c r="A3639"/>
    </row>
    <row r="3640" spans="1:1" ht="18.75" customHeight="1">
      <c r="A3640"/>
    </row>
    <row r="3641" spans="1:1" ht="18.75" customHeight="1">
      <c r="A3641"/>
    </row>
    <row r="3642" spans="1:1" ht="18.75" customHeight="1">
      <c r="A3642"/>
    </row>
    <row r="3643" spans="1:1" ht="18.75" customHeight="1">
      <c r="A3643"/>
    </row>
    <row r="3644" spans="1:1" ht="18.75" customHeight="1">
      <c r="A3644"/>
    </row>
    <row r="3645" spans="1:1" ht="18.75" customHeight="1">
      <c r="A3645"/>
    </row>
    <row r="3646" spans="1:1" ht="18.75" customHeight="1">
      <c r="A3646"/>
    </row>
    <row r="3647" spans="1:1" ht="18.75" customHeight="1">
      <c r="A3647"/>
    </row>
    <row r="3648" spans="1:1" ht="18.75" customHeight="1">
      <c r="A3648"/>
    </row>
    <row r="3649" spans="1:1" ht="18.75" customHeight="1">
      <c r="A3649"/>
    </row>
    <row r="3650" spans="1:1" ht="18.75" customHeight="1">
      <c r="A3650"/>
    </row>
    <row r="3651" spans="1:1" ht="18.75" customHeight="1">
      <c r="A3651"/>
    </row>
    <row r="3652" spans="1:1" ht="18.75" customHeight="1">
      <c r="A3652"/>
    </row>
    <row r="3653" spans="1:1" ht="18.75" customHeight="1">
      <c r="A3653"/>
    </row>
    <row r="3654" spans="1:1" ht="18.75" customHeight="1">
      <c r="A3654"/>
    </row>
    <row r="3655" spans="1:1" ht="18.75" customHeight="1">
      <c r="A3655"/>
    </row>
    <row r="3656" spans="1:1" ht="18.75" customHeight="1">
      <c r="A3656"/>
    </row>
    <row r="3657" spans="1:1" ht="18.75" customHeight="1">
      <c r="A3657"/>
    </row>
    <row r="3658" spans="1:1" ht="18.75" customHeight="1">
      <c r="A3658"/>
    </row>
    <row r="3659" spans="1:1" ht="18.75" customHeight="1">
      <c r="A3659"/>
    </row>
    <row r="3660" spans="1:1" ht="18.75" customHeight="1">
      <c r="A3660"/>
    </row>
    <row r="3661" spans="1:1" ht="18.75" customHeight="1">
      <c r="A3661"/>
    </row>
    <row r="3662" spans="1:1" ht="18.75" customHeight="1">
      <c r="A3662"/>
    </row>
    <row r="3663" spans="1:1" ht="18.75" customHeight="1">
      <c r="A3663"/>
    </row>
    <row r="3664" spans="1:1" ht="18.75" customHeight="1">
      <c r="A3664"/>
    </row>
    <row r="3665" spans="1:1" ht="18.75" customHeight="1">
      <c r="A3665"/>
    </row>
    <row r="3666" spans="1:1" ht="18.75" customHeight="1">
      <c r="A3666"/>
    </row>
    <row r="3667" spans="1:1" ht="18.75" customHeight="1">
      <c r="A3667"/>
    </row>
    <row r="3668" spans="1:1" ht="18.75" customHeight="1">
      <c r="A3668"/>
    </row>
    <row r="3669" spans="1:1" ht="18.75" customHeight="1">
      <c r="A3669"/>
    </row>
    <row r="3670" spans="1:1" ht="18.75" customHeight="1">
      <c r="A3670"/>
    </row>
    <row r="3671" spans="1:1" ht="18.75" customHeight="1">
      <c r="A3671"/>
    </row>
    <row r="3672" spans="1:1" ht="18.75" customHeight="1">
      <c r="A3672"/>
    </row>
    <row r="3673" spans="1:1" ht="18.75" customHeight="1">
      <c r="A3673"/>
    </row>
    <row r="3674" spans="1:1" ht="18.75" customHeight="1">
      <c r="A3674"/>
    </row>
    <row r="3675" spans="1:1" ht="18.75" customHeight="1">
      <c r="A3675"/>
    </row>
    <row r="3676" spans="1:1" ht="18.75" customHeight="1">
      <c r="A3676"/>
    </row>
    <row r="3677" spans="1:1" ht="18.75" customHeight="1">
      <c r="A3677"/>
    </row>
    <row r="3678" spans="1:1" ht="18.75" customHeight="1">
      <c r="A3678"/>
    </row>
    <row r="3679" spans="1:1" ht="18.75" customHeight="1">
      <c r="A3679"/>
    </row>
    <row r="3680" spans="1:1" ht="18.75" customHeight="1">
      <c r="A3680"/>
    </row>
    <row r="3681" spans="1:1" ht="18.75" customHeight="1">
      <c r="A3681"/>
    </row>
    <row r="3682" spans="1:1" ht="18.75" customHeight="1">
      <c r="A3682"/>
    </row>
    <row r="3683" spans="1:1" ht="18.75" customHeight="1">
      <c r="A3683"/>
    </row>
    <row r="3684" spans="1:1" ht="18.75" customHeight="1">
      <c r="A3684"/>
    </row>
    <row r="3685" spans="1:1" ht="18.75" customHeight="1">
      <c r="A3685"/>
    </row>
    <row r="3686" spans="1:1" ht="18.75" customHeight="1">
      <c r="A3686"/>
    </row>
    <row r="3687" spans="1:1" ht="18.75" customHeight="1">
      <c r="A3687"/>
    </row>
    <row r="3688" spans="1:1" ht="18.75" customHeight="1">
      <c r="A3688"/>
    </row>
    <row r="3689" spans="1:1" ht="18.75" customHeight="1">
      <c r="A3689"/>
    </row>
    <row r="3690" spans="1:1" ht="18.75" customHeight="1">
      <c r="A3690"/>
    </row>
    <row r="3691" spans="1:1" ht="18.75" customHeight="1">
      <c r="A3691"/>
    </row>
    <row r="3692" spans="1:1" ht="18.75" customHeight="1">
      <c r="A3692"/>
    </row>
    <row r="3693" spans="1:1" ht="18.75" customHeight="1">
      <c r="A3693"/>
    </row>
    <row r="3694" spans="1:1" ht="18.75" customHeight="1">
      <c r="A3694"/>
    </row>
    <row r="3695" spans="1:1" ht="18.75" customHeight="1">
      <c r="A3695"/>
    </row>
    <row r="3696" spans="1:1" ht="18.75" customHeight="1">
      <c r="A3696"/>
    </row>
    <row r="3697" spans="1:1" ht="18.75" customHeight="1">
      <c r="A3697"/>
    </row>
    <row r="3698" spans="1:1" ht="18.75" customHeight="1">
      <c r="A3698"/>
    </row>
    <row r="3699" spans="1:1" ht="18.75" customHeight="1">
      <c r="A3699"/>
    </row>
    <row r="3700" spans="1:1" ht="18.75" customHeight="1">
      <c r="A3700"/>
    </row>
    <row r="3701" spans="1:1" ht="18.75" customHeight="1">
      <c r="A3701"/>
    </row>
    <row r="3702" spans="1:1" ht="18.75" customHeight="1">
      <c r="A3702"/>
    </row>
    <row r="3703" spans="1:1" ht="18.75" customHeight="1">
      <c r="A3703"/>
    </row>
    <row r="3704" spans="1:1" ht="18.75" customHeight="1">
      <c r="A3704"/>
    </row>
    <row r="3705" spans="1:1" ht="18.75" customHeight="1">
      <c r="A3705"/>
    </row>
    <row r="3706" spans="1:1" ht="18.75" customHeight="1">
      <c r="A3706"/>
    </row>
    <row r="3707" spans="1:1" ht="18.75" customHeight="1">
      <c r="A3707"/>
    </row>
    <row r="3708" spans="1:1" ht="18.75" customHeight="1">
      <c r="A3708"/>
    </row>
    <row r="3709" spans="1:1" ht="18.75" customHeight="1">
      <c r="A3709"/>
    </row>
    <row r="3710" spans="1:1" ht="18.75" customHeight="1">
      <c r="A3710"/>
    </row>
    <row r="3711" spans="1:1" ht="18.75" customHeight="1">
      <c r="A3711"/>
    </row>
    <row r="3712" spans="1:1" ht="18.75" customHeight="1">
      <c r="A3712"/>
    </row>
    <row r="3713" spans="1:1" ht="18.75" customHeight="1">
      <c r="A3713"/>
    </row>
    <row r="3714" spans="1:1" ht="18.75" customHeight="1">
      <c r="A3714"/>
    </row>
    <row r="3715" spans="1:1" ht="18.75" customHeight="1">
      <c r="A3715"/>
    </row>
    <row r="3716" spans="1:1" ht="18.75" customHeight="1">
      <c r="A3716"/>
    </row>
    <row r="3717" spans="1:1" ht="18.75" customHeight="1">
      <c r="A3717"/>
    </row>
    <row r="3718" spans="1:1" ht="18.75" customHeight="1">
      <c r="A3718"/>
    </row>
    <row r="3719" spans="1:1" ht="18.75" customHeight="1">
      <c r="A3719"/>
    </row>
    <row r="3720" spans="1:1" ht="18.75" customHeight="1">
      <c r="A3720"/>
    </row>
    <row r="3721" spans="1:1" ht="18.75" customHeight="1">
      <c r="A3721"/>
    </row>
    <row r="3722" spans="1:1" ht="18.75" customHeight="1">
      <c r="A3722"/>
    </row>
    <row r="3723" spans="1:1" ht="18.75" customHeight="1">
      <c r="A3723"/>
    </row>
    <row r="3724" spans="1:1" ht="18.75" customHeight="1">
      <c r="A3724"/>
    </row>
    <row r="3725" spans="1:1" ht="18.75" customHeight="1">
      <c r="A3725"/>
    </row>
    <row r="3726" spans="1:1" ht="18.75" customHeight="1">
      <c r="A3726"/>
    </row>
    <row r="3727" spans="1:1" ht="18.75" customHeight="1">
      <c r="A3727"/>
    </row>
    <row r="3728" spans="1:1" ht="18.75" customHeight="1">
      <c r="A3728"/>
    </row>
    <row r="3729" spans="1:1" ht="18.75" customHeight="1">
      <c r="A3729"/>
    </row>
    <row r="3730" spans="1:1" ht="18.75" customHeight="1">
      <c r="A3730"/>
    </row>
    <row r="3731" spans="1:1" ht="18.75" customHeight="1">
      <c r="A3731"/>
    </row>
    <row r="3732" spans="1:1" ht="18.75" customHeight="1">
      <c r="A3732"/>
    </row>
    <row r="3733" spans="1:1" ht="18.75" customHeight="1">
      <c r="A3733"/>
    </row>
    <row r="3734" spans="1:1" ht="18.75" customHeight="1">
      <c r="A3734"/>
    </row>
    <row r="3735" spans="1:1" ht="18.75" customHeight="1">
      <c r="A3735"/>
    </row>
    <row r="3736" spans="1:1" ht="18.75" customHeight="1">
      <c r="A3736"/>
    </row>
    <row r="3737" spans="1:1" ht="18.75" customHeight="1">
      <c r="A3737"/>
    </row>
    <row r="3738" spans="1:1" ht="18.75" customHeight="1">
      <c r="A3738"/>
    </row>
    <row r="3739" spans="1:1" ht="18.75" customHeight="1">
      <c r="A3739"/>
    </row>
    <row r="3740" spans="1:1" ht="18.75" customHeight="1">
      <c r="A3740"/>
    </row>
    <row r="3741" spans="1:1" ht="18.75" customHeight="1">
      <c r="A3741"/>
    </row>
    <row r="3742" spans="1:1" ht="18.75" customHeight="1">
      <c r="A3742"/>
    </row>
    <row r="3743" spans="1:1" ht="18.75" customHeight="1">
      <c r="A3743"/>
    </row>
    <row r="3744" spans="1:1" ht="18.75" customHeight="1">
      <c r="A3744"/>
    </row>
    <row r="3745" spans="1:1" ht="18.75" customHeight="1">
      <c r="A3745"/>
    </row>
    <row r="3746" spans="1:1" ht="18.75" customHeight="1">
      <c r="A3746"/>
    </row>
    <row r="3747" spans="1:1" ht="18.75" customHeight="1">
      <c r="A3747"/>
    </row>
    <row r="3748" spans="1:1" ht="18.75" customHeight="1">
      <c r="A3748"/>
    </row>
    <row r="3749" spans="1:1" ht="18.75" customHeight="1">
      <c r="A3749"/>
    </row>
    <row r="3750" spans="1:1" ht="18.75" customHeight="1">
      <c r="A3750"/>
    </row>
    <row r="3751" spans="1:1" ht="18.75" customHeight="1">
      <c r="A3751"/>
    </row>
    <row r="3752" spans="1:1" ht="18.75" customHeight="1">
      <c r="A3752"/>
    </row>
    <row r="3753" spans="1:1" ht="18.75" customHeight="1">
      <c r="A3753"/>
    </row>
    <row r="3754" spans="1:1" ht="18.75" customHeight="1">
      <c r="A3754"/>
    </row>
    <row r="3755" spans="1:1" ht="18.75" customHeight="1">
      <c r="A3755"/>
    </row>
    <row r="3756" spans="1:1" ht="18.75" customHeight="1">
      <c r="A3756"/>
    </row>
    <row r="3757" spans="1:1" ht="18.75" customHeight="1">
      <c r="A3757"/>
    </row>
    <row r="3758" spans="1:1" ht="18.75" customHeight="1">
      <c r="A3758"/>
    </row>
    <row r="3759" spans="1:1" ht="18.75" customHeight="1">
      <c r="A3759"/>
    </row>
    <row r="3760" spans="1:1" ht="18.75" customHeight="1">
      <c r="A3760"/>
    </row>
    <row r="3761" spans="1:1" ht="18.75" customHeight="1">
      <c r="A3761"/>
    </row>
    <row r="3762" spans="1:1" ht="18.75" customHeight="1">
      <c r="A3762"/>
    </row>
    <row r="3763" spans="1:1" ht="18.75" customHeight="1">
      <c r="A3763"/>
    </row>
    <row r="3764" spans="1:1" ht="18.75" customHeight="1">
      <c r="A3764"/>
    </row>
    <row r="3765" spans="1:1" ht="18.75" customHeight="1">
      <c r="A3765"/>
    </row>
    <row r="3766" spans="1:1" ht="18.75" customHeight="1">
      <c r="A3766"/>
    </row>
    <row r="3767" spans="1:1" ht="18.75" customHeight="1">
      <c r="A3767"/>
    </row>
    <row r="3768" spans="1:1" ht="18.75" customHeight="1">
      <c r="A3768"/>
    </row>
    <row r="3769" spans="1:1" ht="18.75" customHeight="1">
      <c r="A3769"/>
    </row>
    <row r="3770" spans="1:1" ht="18.75" customHeight="1">
      <c r="A3770"/>
    </row>
    <row r="3771" spans="1:1" ht="18.75" customHeight="1">
      <c r="A3771"/>
    </row>
    <row r="3772" spans="1:1" ht="18.75" customHeight="1">
      <c r="A3772"/>
    </row>
    <row r="3773" spans="1:1" ht="18.75" customHeight="1">
      <c r="A3773"/>
    </row>
    <row r="3774" spans="1:1" ht="18.75" customHeight="1">
      <c r="A3774"/>
    </row>
    <row r="3775" spans="1:1" ht="18.75" customHeight="1">
      <c r="A3775"/>
    </row>
    <row r="3776" spans="1:1" ht="18.75" customHeight="1">
      <c r="A3776"/>
    </row>
    <row r="3777" spans="1:1" ht="18.75" customHeight="1">
      <c r="A3777"/>
    </row>
    <row r="3778" spans="1:1" ht="18.75" customHeight="1">
      <c r="A3778"/>
    </row>
    <row r="3779" spans="1:1" ht="18.75" customHeight="1">
      <c r="A3779"/>
    </row>
    <row r="3780" spans="1:1" ht="18.75" customHeight="1">
      <c r="A3780"/>
    </row>
    <row r="3781" spans="1:1" ht="18.75" customHeight="1">
      <c r="A3781"/>
    </row>
    <row r="3782" spans="1:1" ht="18.75" customHeight="1">
      <c r="A3782"/>
    </row>
    <row r="3783" spans="1:1" ht="18.75" customHeight="1">
      <c r="A3783"/>
    </row>
    <row r="3784" spans="1:1" ht="18.75" customHeight="1">
      <c r="A3784"/>
    </row>
    <row r="3785" spans="1:1" ht="18.75" customHeight="1">
      <c r="A3785"/>
    </row>
    <row r="3786" spans="1:1" ht="18.75" customHeight="1">
      <c r="A3786"/>
    </row>
    <row r="3787" spans="1:1" ht="18.75" customHeight="1">
      <c r="A3787"/>
    </row>
    <row r="3788" spans="1:1" ht="18.75" customHeight="1">
      <c r="A3788"/>
    </row>
    <row r="3789" spans="1:1" ht="18.75" customHeight="1">
      <c r="A3789"/>
    </row>
    <row r="3790" spans="1:1" ht="18.75" customHeight="1">
      <c r="A3790"/>
    </row>
    <row r="3791" spans="1:1" ht="18.75" customHeight="1">
      <c r="A3791"/>
    </row>
    <row r="3792" spans="1:1" ht="18.75" customHeight="1">
      <c r="A3792"/>
    </row>
    <row r="3793" spans="1:1" ht="18.75" customHeight="1">
      <c r="A3793"/>
    </row>
    <row r="3794" spans="1:1" ht="18.75" customHeight="1">
      <c r="A3794"/>
    </row>
    <row r="3795" spans="1:1" ht="18.75" customHeight="1">
      <c r="A3795"/>
    </row>
    <row r="3796" spans="1:1" ht="18.75" customHeight="1">
      <c r="A3796"/>
    </row>
    <row r="3797" spans="1:1" ht="18.75" customHeight="1">
      <c r="A3797"/>
    </row>
    <row r="3798" spans="1:1" ht="18.75" customHeight="1">
      <c r="A3798"/>
    </row>
    <row r="3799" spans="1:1" ht="18.75" customHeight="1">
      <c r="A3799"/>
    </row>
    <row r="3800" spans="1:1" ht="18.75" customHeight="1">
      <c r="A3800"/>
    </row>
    <row r="3801" spans="1:1" ht="18.75" customHeight="1">
      <c r="A3801"/>
    </row>
    <row r="3802" spans="1:1" ht="18.75" customHeight="1">
      <c r="A3802"/>
    </row>
    <row r="3803" spans="1:1" ht="18.75" customHeight="1">
      <c r="A3803"/>
    </row>
    <row r="3804" spans="1:1" ht="18.75" customHeight="1">
      <c r="A3804"/>
    </row>
    <row r="3805" spans="1:1" ht="18.75" customHeight="1">
      <c r="A3805"/>
    </row>
    <row r="3806" spans="1:1" ht="18.75" customHeight="1">
      <c r="A3806"/>
    </row>
    <row r="3807" spans="1:1" ht="18.75" customHeight="1">
      <c r="A3807"/>
    </row>
    <row r="3808" spans="1:1" ht="18.75" customHeight="1">
      <c r="A3808"/>
    </row>
    <row r="3809" spans="1:1" ht="18.75" customHeight="1">
      <c r="A3809"/>
    </row>
    <row r="3810" spans="1:1" ht="18.75" customHeight="1">
      <c r="A3810"/>
    </row>
    <row r="3811" spans="1:1" ht="18.75" customHeight="1">
      <c r="A3811"/>
    </row>
    <row r="3812" spans="1:1" ht="18.75" customHeight="1">
      <c r="A3812"/>
    </row>
    <row r="3813" spans="1:1" ht="18.75" customHeight="1">
      <c r="A3813"/>
    </row>
    <row r="3814" spans="1:1" ht="18.75" customHeight="1">
      <c r="A3814"/>
    </row>
    <row r="3815" spans="1:1" ht="18.75" customHeight="1">
      <c r="A3815"/>
    </row>
    <row r="3816" spans="1:1" ht="18.75" customHeight="1">
      <c r="A3816"/>
    </row>
    <row r="3817" spans="1:1" ht="18.75" customHeight="1">
      <c r="A3817"/>
    </row>
    <row r="3818" spans="1:1" ht="18.75" customHeight="1">
      <c r="A3818"/>
    </row>
    <row r="3819" spans="1:1" ht="18.75" customHeight="1">
      <c r="A3819"/>
    </row>
    <row r="3820" spans="1:1" ht="18.75" customHeight="1">
      <c r="A3820"/>
    </row>
    <row r="3821" spans="1:1" ht="18.75" customHeight="1">
      <c r="A3821"/>
    </row>
    <row r="3822" spans="1:1" ht="18.75" customHeight="1">
      <c r="A3822"/>
    </row>
    <row r="3823" spans="1:1" ht="18.75" customHeight="1">
      <c r="A3823"/>
    </row>
    <row r="3824" spans="1:1" ht="18.75" customHeight="1">
      <c r="A3824"/>
    </row>
    <row r="3825" spans="1:1" ht="18.75" customHeight="1">
      <c r="A3825"/>
    </row>
    <row r="3826" spans="1:1" ht="18.75" customHeight="1">
      <c r="A3826"/>
    </row>
    <row r="3827" spans="1:1" ht="18.75" customHeight="1">
      <c r="A3827"/>
    </row>
    <row r="3828" spans="1:1" ht="18.75" customHeight="1">
      <c r="A3828"/>
    </row>
    <row r="3829" spans="1:1" ht="18.75" customHeight="1">
      <c r="A3829"/>
    </row>
    <row r="3830" spans="1:1" ht="18.75" customHeight="1">
      <c r="A3830"/>
    </row>
    <row r="3831" spans="1:1" ht="18.75" customHeight="1">
      <c r="A3831"/>
    </row>
    <row r="3832" spans="1:1" ht="18.75" customHeight="1">
      <c r="A3832"/>
    </row>
    <row r="3833" spans="1:1" ht="18.75" customHeight="1">
      <c r="A3833"/>
    </row>
    <row r="3834" spans="1:1" ht="18.75" customHeight="1">
      <c r="A3834"/>
    </row>
    <row r="3835" spans="1:1" ht="18.75" customHeight="1">
      <c r="A3835"/>
    </row>
    <row r="3836" spans="1:1" ht="18.75" customHeight="1">
      <c r="A3836"/>
    </row>
    <row r="3837" spans="1:1" ht="18.75" customHeight="1">
      <c r="A3837"/>
    </row>
    <row r="3838" spans="1:1" ht="18.75" customHeight="1">
      <c r="A3838"/>
    </row>
    <row r="3839" spans="1:1" ht="18.75" customHeight="1">
      <c r="A3839"/>
    </row>
    <row r="3840" spans="1:1" ht="18.75" customHeight="1">
      <c r="A3840"/>
    </row>
    <row r="3841" spans="1:1" ht="18.75" customHeight="1">
      <c r="A3841"/>
    </row>
    <row r="3842" spans="1:1" ht="18.75" customHeight="1">
      <c r="A3842"/>
    </row>
    <row r="3843" spans="1:1" ht="18.75" customHeight="1">
      <c r="A3843"/>
    </row>
    <row r="3844" spans="1:1" ht="18.75" customHeight="1">
      <c r="A3844"/>
    </row>
    <row r="3845" spans="1:1" ht="18.75" customHeight="1">
      <c r="A3845"/>
    </row>
    <row r="3846" spans="1:1" ht="18.75" customHeight="1">
      <c r="A3846"/>
    </row>
    <row r="3847" spans="1:1" ht="18.75" customHeight="1">
      <c r="A3847"/>
    </row>
    <row r="3848" spans="1:1" ht="18.75" customHeight="1">
      <c r="A3848"/>
    </row>
    <row r="3849" spans="1:1" ht="18.75" customHeight="1">
      <c r="A3849"/>
    </row>
    <row r="3850" spans="1:1" ht="18.75" customHeight="1">
      <c r="A3850"/>
    </row>
    <row r="3851" spans="1:1" ht="18.75" customHeight="1">
      <c r="A3851"/>
    </row>
    <row r="3852" spans="1:1" ht="18.75" customHeight="1">
      <c r="A3852"/>
    </row>
    <row r="3853" spans="1:1" ht="18.75" customHeight="1">
      <c r="A3853"/>
    </row>
    <row r="3854" spans="1:1" ht="18.75" customHeight="1">
      <c r="A3854"/>
    </row>
    <row r="3855" spans="1:1" ht="18.75" customHeight="1">
      <c r="A3855"/>
    </row>
    <row r="3856" spans="1:1" ht="18.75" customHeight="1">
      <c r="A3856"/>
    </row>
    <row r="3857" spans="1:1" ht="18.75" customHeight="1">
      <c r="A3857"/>
    </row>
    <row r="3858" spans="1:1" ht="18.75" customHeight="1">
      <c r="A3858"/>
    </row>
    <row r="3859" spans="1:1" ht="18.75" customHeight="1">
      <c r="A3859"/>
    </row>
    <row r="3860" spans="1:1" ht="18.75" customHeight="1">
      <c r="A3860"/>
    </row>
    <row r="3861" spans="1:1" ht="18.75" customHeight="1">
      <c r="A3861"/>
    </row>
    <row r="3862" spans="1:1" ht="18.75" customHeight="1">
      <c r="A3862"/>
    </row>
    <row r="3863" spans="1:1" ht="18.75" customHeight="1">
      <c r="A3863"/>
    </row>
    <row r="3864" spans="1:1" ht="18.75" customHeight="1">
      <c r="A3864"/>
    </row>
    <row r="3865" spans="1:1" ht="18.75" customHeight="1">
      <c r="A3865"/>
    </row>
    <row r="3866" spans="1:1" ht="18.75" customHeight="1">
      <c r="A3866"/>
    </row>
    <row r="3867" spans="1:1" ht="18.75" customHeight="1">
      <c r="A3867"/>
    </row>
    <row r="3868" spans="1:1" ht="18.75" customHeight="1">
      <c r="A3868"/>
    </row>
    <row r="3869" spans="1:1" ht="18.75" customHeight="1">
      <c r="A3869"/>
    </row>
    <row r="3870" spans="1:1" ht="18.75" customHeight="1">
      <c r="A3870"/>
    </row>
    <row r="3871" spans="1:1" ht="18.75" customHeight="1">
      <c r="A3871"/>
    </row>
    <row r="3872" spans="1:1" ht="18.75" customHeight="1">
      <c r="A3872"/>
    </row>
    <row r="3873" spans="1:1" ht="18.75" customHeight="1">
      <c r="A3873"/>
    </row>
    <row r="3874" spans="1:1" ht="18.75" customHeight="1">
      <c r="A3874"/>
    </row>
    <row r="3875" spans="1:1" ht="18.75" customHeight="1">
      <c r="A3875"/>
    </row>
    <row r="3876" spans="1:1" ht="18.75" customHeight="1">
      <c r="A3876"/>
    </row>
    <row r="3877" spans="1:1" ht="18.75" customHeight="1">
      <c r="A3877"/>
    </row>
    <row r="3878" spans="1:1" ht="18.75" customHeight="1">
      <c r="A3878"/>
    </row>
    <row r="3879" spans="1:1" ht="18.75" customHeight="1">
      <c r="A3879"/>
    </row>
    <row r="3880" spans="1:1" ht="18.75" customHeight="1">
      <c r="A3880"/>
    </row>
    <row r="3881" spans="1:1" ht="18.75" customHeight="1">
      <c r="A3881"/>
    </row>
    <row r="3882" spans="1:1" ht="18.75" customHeight="1">
      <c r="A3882"/>
    </row>
    <row r="3883" spans="1:1" ht="18.75" customHeight="1">
      <c r="A3883"/>
    </row>
    <row r="3884" spans="1:1" ht="18.75" customHeight="1">
      <c r="A3884"/>
    </row>
    <row r="3885" spans="1:1" ht="18.75" customHeight="1">
      <c r="A3885"/>
    </row>
    <row r="3886" spans="1:1" ht="18.75" customHeight="1">
      <c r="A3886"/>
    </row>
    <row r="3887" spans="1:1" ht="18.75" customHeight="1">
      <c r="A3887"/>
    </row>
    <row r="3888" spans="1:1" ht="18.75" customHeight="1">
      <c r="A3888"/>
    </row>
    <row r="3889" spans="1:1" ht="18.75" customHeight="1">
      <c r="A3889"/>
    </row>
    <row r="3890" spans="1:1" ht="18.75" customHeight="1">
      <c r="A3890"/>
    </row>
    <row r="3891" spans="1:1" ht="18.75" customHeight="1">
      <c r="A3891"/>
    </row>
    <row r="3892" spans="1:1" ht="18.75" customHeight="1">
      <c r="A3892"/>
    </row>
    <row r="3893" spans="1:1" ht="18.75" customHeight="1">
      <c r="A3893"/>
    </row>
    <row r="3894" spans="1:1" ht="18.75" customHeight="1">
      <c r="A3894"/>
    </row>
    <row r="3895" spans="1:1" ht="18.75" customHeight="1">
      <c r="A3895"/>
    </row>
    <row r="3896" spans="1:1" ht="18.75" customHeight="1">
      <c r="A3896"/>
    </row>
    <row r="3897" spans="1:1" ht="18.75" customHeight="1">
      <c r="A3897"/>
    </row>
    <row r="3898" spans="1:1" ht="18.75" customHeight="1">
      <c r="A3898"/>
    </row>
    <row r="3899" spans="1:1" ht="18.75" customHeight="1">
      <c r="A3899"/>
    </row>
    <row r="3900" spans="1:1" ht="18.75" customHeight="1">
      <c r="A3900"/>
    </row>
    <row r="3901" spans="1:1" ht="18.75" customHeight="1">
      <c r="A3901"/>
    </row>
    <row r="3902" spans="1:1" ht="18.75" customHeight="1">
      <c r="A3902"/>
    </row>
    <row r="3903" spans="1:1" ht="18.75" customHeight="1">
      <c r="A3903"/>
    </row>
    <row r="3904" spans="1:1" ht="18.75" customHeight="1">
      <c r="A3904"/>
    </row>
    <row r="3905" spans="1:1" ht="18.75" customHeight="1">
      <c r="A3905"/>
    </row>
    <row r="3906" spans="1:1" ht="18.75" customHeight="1">
      <c r="A3906"/>
    </row>
    <row r="3907" spans="1:1" ht="18.75" customHeight="1">
      <c r="A3907"/>
    </row>
    <row r="3908" spans="1:1" ht="18.75" customHeight="1">
      <c r="A3908"/>
    </row>
    <row r="3909" spans="1:1" ht="18.75" customHeight="1">
      <c r="A3909"/>
    </row>
    <row r="3910" spans="1:1" ht="18.75" customHeight="1">
      <c r="A3910"/>
    </row>
    <row r="3911" spans="1:1" ht="18.75" customHeight="1">
      <c r="A3911"/>
    </row>
    <row r="3912" spans="1:1" ht="18.75" customHeight="1">
      <c r="A3912"/>
    </row>
    <row r="3913" spans="1:1" ht="18.75" customHeight="1">
      <c r="A3913"/>
    </row>
    <row r="3914" spans="1:1" ht="18.75" customHeight="1">
      <c r="A3914"/>
    </row>
    <row r="3915" spans="1:1" ht="18.75" customHeight="1">
      <c r="A3915"/>
    </row>
    <row r="3916" spans="1:1" ht="18.75" customHeight="1">
      <c r="A3916"/>
    </row>
    <row r="3917" spans="1:1" ht="18.75" customHeight="1">
      <c r="A3917"/>
    </row>
    <row r="3918" spans="1:1" ht="18.75" customHeight="1">
      <c r="A3918"/>
    </row>
    <row r="3919" spans="1:1" ht="18.75" customHeight="1">
      <c r="A3919"/>
    </row>
    <row r="3920" spans="1:1" ht="18.75" customHeight="1">
      <c r="A3920"/>
    </row>
    <row r="3921" spans="1:1" ht="18.75" customHeight="1">
      <c r="A3921"/>
    </row>
    <row r="3922" spans="1:1" ht="18.75" customHeight="1">
      <c r="A3922"/>
    </row>
    <row r="3923" spans="1:1" ht="18.75" customHeight="1">
      <c r="A3923"/>
    </row>
    <row r="3924" spans="1:1" ht="18.75" customHeight="1">
      <c r="A3924"/>
    </row>
    <row r="3925" spans="1:1" ht="18.75" customHeight="1">
      <c r="A3925"/>
    </row>
    <row r="3926" spans="1:1" ht="18.75" customHeight="1">
      <c r="A3926"/>
    </row>
    <row r="3927" spans="1:1" ht="18.75" customHeight="1">
      <c r="A3927"/>
    </row>
    <row r="3928" spans="1:1" ht="18.75" customHeight="1">
      <c r="A3928"/>
    </row>
    <row r="3929" spans="1:1" ht="18.75" customHeight="1">
      <c r="A3929"/>
    </row>
    <row r="3930" spans="1:1" ht="18.75" customHeight="1">
      <c r="A3930"/>
    </row>
    <row r="3931" spans="1:1" ht="18.75" customHeight="1">
      <c r="A3931"/>
    </row>
    <row r="3932" spans="1:1" ht="18.75" customHeight="1">
      <c r="A3932"/>
    </row>
    <row r="3933" spans="1:1" ht="18.75" customHeight="1">
      <c r="A3933"/>
    </row>
    <row r="3934" spans="1:1" ht="18.75" customHeight="1">
      <c r="A3934"/>
    </row>
    <row r="3935" spans="1:1" ht="18.75" customHeight="1">
      <c r="A3935"/>
    </row>
    <row r="3936" spans="1:1" ht="18.75" customHeight="1">
      <c r="A3936"/>
    </row>
    <row r="3937" spans="1:1" ht="18.75" customHeight="1">
      <c r="A3937"/>
    </row>
    <row r="3938" spans="1:1" ht="18.75" customHeight="1">
      <c r="A3938"/>
    </row>
    <row r="3939" spans="1:1" ht="18.75" customHeight="1">
      <c r="A3939"/>
    </row>
    <row r="3940" spans="1:1" ht="18.75" customHeight="1">
      <c r="A3940"/>
    </row>
    <row r="3941" spans="1:1" ht="18.75" customHeight="1">
      <c r="A3941"/>
    </row>
    <row r="3942" spans="1:1" ht="18.75" customHeight="1">
      <c r="A3942"/>
    </row>
    <row r="3943" spans="1:1" ht="18.75" customHeight="1">
      <c r="A3943"/>
    </row>
    <row r="3944" spans="1:1" ht="18.75" customHeight="1">
      <c r="A3944"/>
    </row>
    <row r="3945" spans="1:1" ht="18.75" customHeight="1">
      <c r="A3945"/>
    </row>
    <row r="3946" spans="1:1" ht="18.75" customHeight="1">
      <c r="A3946"/>
    </row>
    <row r="3947" spans="1:1" ht="18.75" customHeight="1">
      <c r="A3947"/>
    </row>
    <row r="3948" spans="1:1" ht="18.75" customHeight="1">
      <c r="A3948"/>
    </row>
    <row r="3949" spans="1:1" ht="18.75" customHeight="1">
      <c r="A3949"/>
    </row>
    <row r="3950" spans="1:1" ht="18.75" customHeight="1">
      <c r="A3950"/>
    </row>
    <row r="3951" spans="1:1" ht="18.75" customHeight="1">
      <c r="A3951"/>
    </row>
    <row r="3952" spans="1:1" ht="18.75" customHeight="1">
      <c r="A3952"/>
    </row>
    <row r="3953" spans="1:1" ht="18.75" customHeight="1">
      <c r="A3953"/>
    </row>
    <row r="3954" spans="1:1" ht="18.75" customHeight="1">
      <c r="A3954"/>
    </row>
    <row r="3955" spans="1:1" ht="18.75" customHeight="1">
      <c r="A3955"/>
    </row>
    <row r="3956" spans="1:1" ht="18.75" customHeight="1">
      <c r="A3956"/>
    </row>
    <row r="3957" spans="1:1" ht="18.75" customHeight="1">
      <c r="A3957"/>
    </row>
    <row r="3958" spans="1:1" ht="18.75" customHeight="1">
      <c r="A3958"/>
    </row>
    <row r="3959" spans="1:1" ht="18.75" customHeight="1">
      <c r="A3959"/>
    </row>
    <row r="3960" spans="1:1" ht="18.75" customHeight="1">
      <c r="A3960"/>
    </row>
    <row r="3961" spans="1:1" ht="18.75" customHeight="1">
      <c r="A3961"/>
    </row>
    <row r="3962" spans="1:1" ht="18.75" customHeight="1">
      <c r="A3962"/>
    </row>
    <row r="3963" spans="1:1" ht="18.75" customHeight="1">
      <c r="A3963"/>
    </row>
    <row r="3964" spans="1:1" ht="18.75" customHeight="1">
      <c r="A3964"/>
    </row>
    <row r="3965" spans="1:1" ht="18.75" customHeight="1">
      <c r="A3965"/>
    </row>
    <row r="3966" spans="1:1" ht="18.75" customHeight="1">
      <c r="A3966"/>
    </row>
    <row r="3967" spans="1:1" ht="18.75" customHeight="1">
      <c r="A3967"/>
    </row>
    <row r="3968" spans="1:1" ht="18.75" customHeight="1">
      <c r="A3968"/>
    </row>
    <row r="3969" spans="1:1" ht="18.75" customHeight="1">
      <c r="A3969"/>
    </row>
    <row r="3970" spans="1:1" ht="18.75" customHeight="1">
      <c r="A3970"/>
    </row>
    <row r="3971" spans="1:1" ht="18.75" customHeight="1">
      <c r="A3971"/>
    </row>
    <row r="3972" spans="1:1" ht="18.75" customHeight="1">
      <c r="A3972"/>
    </row>
    <row r="3973" spans="1:1" ht="18.75" customHeight="1">
      <c r="A3973"/>
    </row>
    <row r="3974" spans="1:1" ht="18.75" customHeight="1">
      <c r="A3974"/>
    </row>
    <row r="3975" spans="1:1" ht="18.75" customHeight="1">
      <c r="A3975"/>
    </row>
    <row r="3976" spans="1:1" ht="18.75" customHeight="1">
      <c r="A3976"/>
    </row>
    <row r="3977" spans="1:1" ht="18.75" customHeight="1">
      <c r="A3977"/>
    </row>
    <row r="3978" spans="1:1" ht="18.75" customHeight="1">
      <c r="A3978"/>
    </row>
    <row r="3979" spans="1:1" ht="18.75" customHeight="1">
      <c r="A3979"/>
    </row>
    <row r="3980" spans="1:1" ht="18.75" customHeight="1">
      <c r="A3980"/>
    </row>
    <row r="3981" spans="1:1" ht="18.75" customHeight="1">
      <c r="A3981"/>
    </row>
    <row r="3982" spans="1:1" ht="18.75" customHeight="1">
      <c r="A3982"/>
    </row>
    <row r="3983" spans="1:1" ht="18.75" customHeight="1">
      <c r="A3983"/>
    </row>
    <row r="3984" spans="1:1" ht="18.75" customHeight="1">
      <c r="A3984"/>
    </row>
    <row r="3985" spans="1:1" ht="18.75" customHeight="1">
      <c r="A3985"/>
    </row>
    <row r="3986" spans="1:1" ht="18.75" customHeight="1">
      <c r="A3986"/>
    </row>
    <row r="3987" spans="1:1" ht="18.75" customHeight="1">
      <c r="A3987"/>
    </row>
    <row r="3988" spans="1:1" ht="18.75" customHeight="1">
      <c r="A3988"/>
    </row>
    <row r="3989" spans="1:1" ht="18.75" customHeight="1">
      <c r="A3989"/>
    </row>
    <row r="3990" spans="1:1" ht="18.75" customHeight="1">
      <c r="A3990"/>
    </row>
    <row r="3991" spans="1:1" ht="18.75" customHeight="1">
      <c r="A3991"/>
    </row>
    <row r="3992" spans="1:1" ht="18.75" customHeight="1">
      <c r="A3992"/>
    </row>
    <row r="3993" spans="1:1" ht="18.75" customHeight="1">
      <c r="A3993"/>
    </row>
    <row r="3994" spans="1:1" ht="18.75" customHeight="1">
      <c r="A3994"/>
    </row>
    <row r="3995" spans="1:1" ht="18.75" customHeight="1">
      <c r="A3995"/>
    </row>
    <row r="3996" spans="1:1" ht="18.75" customHeight="1">
      <c r="A3996"/>
    </row>
    <row r="3997" spans="1:1" ht="18.75" customHeight="1">
      <c r="A3997"/>
    </row>
    <row r="3998" spans="1:1" ht="18.75" customHeight="1">
      <c r="A3998"/>
    </row>
    <row r="3999" spans="1:1" ht="18.75" customHeight="1">
      <c r="A3999"/>
    </row>
    <row r="4000" spans="1:1" ht="18.75" customHeight="1">
      <c r="A4000"/>
    </row>
    <row r="4001" spans="1:1" ht="18.75" customHeight="1">
      <c r="A4001"/>
    </row>
    <row r="4002" spans="1:1" ht="18.75" customHeight="1">
      <c r="A4002"/>
    </row>
    <row r="4003" spans="1:1" ht="18.75" customHeight="1">
      <c r="A4003"/>
    </row>
    <row r="4004" spans="1:1" ht="18.75" customHeight="1">
      <c r="A4004"/>
    </row>
    <row r="4005" spans="1:1" ht="18.75" customHeight="1">
      <c r="A4005"/>
    </row>
    <row r="4006" spans="1:1" ht="18.75" customHeight="1">
      <c r="A4006"/>
    </row>
    <row r="4007" spans="1:1" ht="18.75" customHeight="1">
      <c r="A4007"/>
    </row>
    <row r="4008" spans="1:1" ht="18.75" customHeight="1">
      <c r="A4008"/>
    </row>
    <row r="4009" spans="1:1" ht="18.75" customHeight="1">
      <c r="A4009"/>
    </row>
    <row r="4010" spans="1:1" ht="18.75" customHeight="1">
      <c r="A4010"/>
    </row>
    <row r="4011" spans="1:1" ht="18.75" customHeight="1">
      <c r="A4011"/>
    </row>
    <row r="4012" spans="1:1" ht="18.75" customHeight="1">
      <c r="A4012"/>
    </row>
    <row r="4013" spans="1:1" ht="18.75" customHeight="1">
      <c r="A4013"/>
    </row>
    <row r="4014" spans="1:1" ht="18.75" customHeight="1">
      <c r="A4014"/>
    </row>
    <row r="4015" spans="1:1" ht="18.75" customHeight="1">
      <c r="A4015"/>
    </row>
    <row r="4016" spans="1:1" ht="18.75" customHeight="1">
      <c r="A4016"/>
    </row>
    <row r="4017" spans="1:1" ht="18.75" customHeight="1">
      <c r="A4017"/>
    </row>
    <row r="4018" spans="1:1" ht="18.75" customHeight="1">
      <c r="A4018"/>
    </row>
    <row r="4019" spans="1:1" ht="18.75" customHeight="1">
      <c r="A4019"/>
    </row>
    <row r="4020" spans="1:1" ht="18.75" customHeight="1">
      <c r="A4020"/>
    </row>
    <row r="4021" spans="1:1" ht="18.75" customHeight="1">
      <c r="A4021"/>
    </row>
    <row r="4022" spans="1:1" ht="18.75" customHeight="1">
      <c r="A4022"/>
    </row>
    <row r="4023" spans="1:1" ht="18.75" customHeight="1">
      <c r="A4023"/>
    </row>
    <row r="4024" spans="1:1" ht="18.75" customHeight="1">
      <c r="A4024"/>
    </row>
    <row r="4025" spans="1:1" ht="18.75" customHeight="1">
      <c r="A4025"/>
    </row>
    <row r="4026" spans="1:1" ht="18.75" customHeight="1">
      <c r="A4026"/>
    </row>
    <row r="4027" spans="1:1" ht="18.75" customHeight="1">
      <c r="A4027"/>
    </row>
    <row r="4028" spans="1:1" ht="18.75" customHeight="1">
      <c r="A4028"/>
    </row>
    <row r="4029" spans="1:1" ht="18.75" customHeight="1">
      <c r="A4029"/>
    </row>
    <row r="4030" spans="1:1" ht="18.75" customHeight="1">
      <c r="A4030"/>
    </row>
    <row r="4031" spans="1:1" ht="18.75" customHeight="1">
      <c r="A4031"/>
    </row>
    <row r="4032" spans="1:1" ht="18.75" customHeight="1">
      <c r="A4032"/>
    </row>
    <row r="4033" spans="1:1" ht="18.75" customHeight="1">
      <c r="A4033"/>
    </row>
    <row r="4034" spans="1:1" ht="18.75" customHeight="1">
      <c r="A4034"/>
    </row>
    <row r="4035" spans="1:1" ht="18.75" customHeight="1">
      <c r="A4035"/>
    </row>
    <row r="4036" spans="1:1" ht="18.75" customHeight="1">
      <c r="A4036"/>
    </row>
    <row r="4037" spans="1:1" ht="18.75" customHeight="1">
      <c r="A4037"/>
    </row>
    <row r="4038" spans="1:1" ht="18.75" customHeight="1">
      <c r="A4038"/>
    </row>
    <row r="4039" spans="1:1" ht="18.75" customHeight="1">
      <c r="A4039"/>
    </row>
    <row r="4040" spans="1:1" ht="18.75" customHeight="1">
      <c r="A4040"/>
    </row>
    <row r="4041" spans="1:1" ht="18.75" customHeight="1">
      <c r="A4041"/>
    </row>
    <row r="4042" spans="1:1" ht="18.75" customHeight="1">
      <c r="A4042"/>
    </row>
    <row r="4043" spans="1:1" ht="18.75" customHeight="1">
      <c r="A4043"/>
    </row>
    <row r="4044" spans="1:1" ht="18.75" customHeight="1">
      <c r="A4044"/>
    </row>
    <row r="4045" spans="1:1" ht="18.75" customHeight="1">
      <c r="A4045"/>
    </row>
    <row r="4046" spans="1:1" ht="18.75" customHeight="1">
      <c r="A4046"/>
    </row>
    <row r="4047" spans="1:1" ht="18.75" customHeight="1">
      <c r="A4047"/>
    </row>
    <row r="4048" spans="1:1" ht="18.75" customHeight="1">
      <c r="A4048"/>
    </row>
    <row r="4049" spans="1:1" ht="18.75" customHeight="1">
      <c r="A4049"/>
    </row>
    <row r="4050" spans="1:1" ht="18.75" customHeight="1">
      <c r="A4050"/>
    </row>
    <row r="4051" spans="1:1" ht="18.75" customHeight="1">
      <c r="A4051"/>
    </row>
    <row r="4052" spans="1:1" ht="18.75" customHeight="1">
      <c r="A4052"/>
    </row>
    <row r="4053" spans="1:1" ht="18.75" customHeight="1">
      <c r="A4053"/>
    </row>
    <row r="4054" spans="1:1" ht="18.75" customHeight="1">
      <c r="A4054"/>
    </row>
    <row r="4055" spans="1:1" ht="18.75" customHeight="1">
      <c r="A4055"/>
    </row>
    <row r="4056" spans="1:1" ht="18.75" customHeight="1">
      <c r="A4056"/>
    </row>
    <row r="4057" spans="1:1" ht="18.75" customHeight="1">
      <c r="A4057"/>
    </row>
    <row r="4058" spans="1:1" ht="18.75" customHeight="1">
      <c r="A4058"/>
    </row>
    <row r="4059" spans="1:1" ht="18.75" customHeight="1">
      <c r="A4059"/>
    </row>
    <row r="4060" spans="1:1" ht="18.75" customHeight="1">
      <c r="A4060"/>
    </row>
    <row r="4061" spans="1:1" ht="18.75" customHeight="1">
      <c r="A4061"/>
    </row>
    <row r="4062" spans="1:1" ht="18.75" customHeight="1">
      <c r="A4062"/>
    </row>
    <row r="4063" spans="1:1" ht="18.75" customHeight="1">
      <c r="A4063"/>
    </row>
    <row r="4064" spans="1:1" ht="18.75" customHeight="1">
      <c r="A4064"/>
    </row>
    <row r="4065" spans="1:1" ht="18.75" customHeight="1">
      <c r="A4065"/>
    </row>
    <row r="4066" spans="1:1" ht="18.75" customHeight="1">
      <c r="A4066"/>
    </row>
    <row r="4067" spans="1:1" ht="18.75" customHeight="1">
      <c r="A4067"/>
    </row>
    <row r="4068" spans="1:1" ht="18.75" customHeight="1">
      <c r="A4068"/>
    </row>
    <row r="4069" spans="1:1" ht="18.75" customHeight="1">
      <c r="A4069"/>
    </row>
    <row r="4070" spans="1:1" ht="18.75" customHeight="1">
      <c r="A4070"/>
    </row>
    <row r="4071" spans="1:1" ht="18.75" customHeight="1">
      <c r="A4071"/>
    </row>
    <row r="4072" spans="1:1" ht="18.75" customHeight="1">
      <c r="A4072"/>
    </row>
    <row r="4073" spans="1:1" ht="18.75" customHeight="1">
      <c r="A4073"/>
    </row>
    <row r="4074" spans="1:1" ht="18.75" customHeight="1">
      <c r="A4074"/>
    </row>
    <row r="4075" spans="1:1" ht="18.75" customHeight="1">
      <c r="A4075"/>
    </row>
    <row r="4076" spans="1:1" ht="18.75" customHeight="1">
      <c r="A4076"/>
    </row>
    <row r="4077" spans="1:1" ht="18.75" customHeight="1">
      <c r="A4077"/>
    </row>
    <row r="4078" spans="1:1" ht="18.75" customHeight="1">
      <c r="A4078"/>
    </row>
    <row r="4079" spans="1:1" ht="18.75" customHeight="1">
      <c r="A4079"/>
    </row>
    <row r="4080" spans="1:1" ht="18.75" customHeight="1">
      <c r="A4080"/>
    </row>
    <row r="4081" spans="1:1" ht="18.75" customHeight="1">
      <c r="A4081"/>
    </row>
    <row r="4082" spans="1:1" ht="18.75" customHeight="1">
      <c r="A4082"/>
    </row>
    <row r="4083" spans="1:1" ht="18.75" customHeight="1">
      <c r="A4083"/>
    </row>
    <row r="4084" spans="1:1" ht="18.75" customHeight="1">
      <c r="A4084"/>
    </row>
    <row r="4085" spans="1:1" ht="18.75" customHeight="1">
      <c r="A4085"/>
    </row>
    <row r="4086" spans="1:1" ht="18.75" customHeight="1">
      <c r="A4086"/>
    </row>
    <row r="4087" spans="1:1" ht="18.75" customHeight="1">
      <c r="A4087"/>
    </row>
    <row r="4088" spans="1:1" ht="18.75" customHeight="1">
      <c r="A4088"/>
    </row>
    <row r="4089" spans="1:1" ht="18.75" customHeight="1">
      <c r="A4089"/>
    </row>
    <row r="4090" spans="1:1" ht="18.75" customHeight="1">
      <c r="A4090"/>
    </row>
    <row r="4091" spans="1:1" ht="18.75" customHeight="1">
      <c r="A4091"/>
    </row>
    <row r="4092" spans="1:1" ht="18.75" customHeight="1">
      <c r="A4092"/>
    </row>
    <row r="4093" spans="1:1" ht="18.75" customHeight="1">
      <c r="A4093"/>
    </row>
    <row r="4094" spans="1:1" ht="18.75" customHeight="1">
      <c r="A4094"/>
    </row>
    <row r="4095" spans="1:1" ht="18.75" customHeight="1">
      <c r="A4095"/>
    </row>
    <row r="4096" spans="1:1" ht="18.75" customHeight="1">
      <c r="A4096"/>
    </row>
    <row r="4097" spans="1:1" ht="18.75" customHeight="1">
      <c r="A4097"/>
    </row>
    <row r="4098" spans="1:1" ht="18.75" customHeight="1">
      <c r="A4098"/>
    </row>
    <row r="4099" spans="1:1" ht="18.75" customHeight="1">
      <c r="A4099"/>
    </row>
    <row r="4100" spans="1:1" ht="18.75" customHeight="1">
      <c r="A4100"/>
    </row>
    <row r="4101" spans="1:1" ht="18.75" customHeight="1">
      <c r="A4101"/>
    </row>
    <row r="4102" spans="1:1" ht="18.75" customHeight="1">
      <c r="A4102"/>
    </row>
    <row r="4103" spans="1:1" ht="18.75" customHeight="1">
      <c r="A4103"/>
    </row>
    <row r="4104" spans="1:1" ht="18.75" customHeight="1">
      <c r="A4104"/>
    </row>
    <row r="4105" spans="1:1" ht="18.75" customHeight="1">
      <c r="A4105"/>
    </row>
    <row r="4106" spans="1:1" ht="18.75" customHeight="1">
      <c r="A4106"/>
    </row>
    <row r="4107" spans="1:1" ht="18.75" customHeight="1">
      <c r="A4107"/>
    </row>
    <row r="4108" spans="1:1" ht="18.75" customHeight="1">
      <c r="A4108"/>
    </row>
    <row r="4109" spans="1:1" ht="18.75" customHeight="1">
      <c r="A4109"/>
    </row>
    <row r="4110" spans="1:1" ht="18.75" customHeight="1">
      <c r="A4110"/>
    </row>
    <row r="4111" spans="1:1" ht="18.75" customHeight="1">
      <c r="A4111"/>
    </row>
    <row r="4112" spans="1:1" ht="18.75" customHeight="1">
      <c r="A4112"/>
    </row>
    <row r="4113" spans="1:1" ht="18.75" customHeight="1">
      <c r="A4113"/>
    </row>
    <row r="4114" spans="1:1" ht="18.75" customHeight="1">
      <c r="A4114"/>
    </row>
    <row r="4115" spans="1:1" ht="18.75" customHeight="1">
      <c r="A4115"/>
    </row>
    <row r="4116" spans="1:1" ht="18.75" customHeight="1">
      <c r="A4116"/>
    </row>
    <row r="4117" spans="1:1" ht="18.75" customHeight="1">
      <c r="A4117"/>
    </row>
    <row r="4118" spans="1:1" ht="18.75" customHeight="1">
      <c r="A4118"/>
    </row>
    <row r="4119" spans="1:1" ht="18.75" customHeight="1">
      <c r="A4119"/>
    </row>
    <row r="4120" spans="1:1" ht="18.75" customHeight="1">
      <c r="A4120"/>
    </row>
    <row r="4121" spans="1:1" ht="18.75" customHeight="1">
      <c r="A4121"/>
    </row>
    <row r="4122" spans="1:1" ht="18.75" customHeight="1">
      <c r="A4122"/>
    </row>
    <row r="4123" spans="1:1" ht="18.75" customHeight="1">
      <c r="A4123"/>
    </row>
    <row r="4124" spans="1:1" ht="18.75" customHeight="1">
      <c r="A4124"/>
    </row>
    <row r="4125" spans="1:1" ht="18.75" customHeight="1">
      <c r="A4125"/>
    </row>
    <row r="4126" spans="1:1" ht="18.75" customHeight="1">
      <c r="A4126"/>
    </row>
    <row r="4127" spans="1:1" ht="18.75" customHeight="1">
      <c r="A4127"/>
    </row>
    <row r="4128" spans="1:1" ht="18.75" customHeight="1">
      <c r="A4128"/>
    </row>
    <row r="4129" spans="1:1" ht="18.75" customHeight="1">
      <c r="A4129"/>
    </row>
    <row r="4130" spans="1:1" ht="18.75" customHeight="1">
      <c r="A4130"/>
    </row>
    <row r="4131" spans="1:1" ht="18.75" customHeight="1">
      <c r="A4131"/>
    </row>
    <row r="4132" spans="1:1" ht="18.75" customHeight="1">
      <c r="A4132"/>
    </row>
    <row r="4133" spans="1:1" ht="18.75" customHeight="1">
      <c r="A4133"/>
    </row>
    <row r="4134" spans="1:1" ht="18.75" customHeight="1">
      <c r="A4134"/>
    </row>
    <row r="4135" spans="1:1" ht="18.75" customHeight="1">
      <c r="A4135"/>
    </row>
    <row r="4136" spans="1:1" ht="18.75" customHeight="1">
      <c r="A4136"/>
    </row>
    <row r="4137" spans="1:1" ht="18.75" customHeight="1">
      <c r="A4137"/>
    </row>
    <row r="4138" spans="1:1" ht="18.75" customHeight="1">
      <c r="A4138"/>
    </row>
    <row r="4139" spans="1:1" ht="18.75" customHeight="1">
      <c r="A4139"/>
    </row>
    <row r="4140" spans="1:1" ht="18.75" customHeight="1">
      <c r="A4140"/>
    </row>
    <row r="4141" spans="1:1" ht="18.75" customHeight="1">
      <c r="A4141"/>
    </row>
    <row r="4142" spans="1:1" ht="18.75" customHeight="1">
      <c r="A4142"/>
    </row>
    <row r="4143" spans="1:1" ht="18.75" customHeight="1">
      <c r="A4143"/>
    </row>
    <row r="4144" spans="1:1" ht="18.75" customHeight="1">
      <c r="A4144"/>
    </row>
    <row r="4145" spans="1:1" ht="18.75" customHeight="1">
      <c r="A4145"/>
    </row>
    <row r="4146" spans="1:1" ht="18.75" customHeight="1">
      <c r="A4146"/>
    </row>
    <row r="4147" spans="1:1" ht="18.75" customHeight="1">
      <c r="A4147"/>
    </row>
    <row r="4148" spans="1:1" ht="18.75" customHeight="1">
      <c r="A4148"/>
    </row>
    <row r="4149" spans="1:1" ht="18.75" customHeight="1">
      <c r="A4149"/>
    </row>
    <row r="4150" spans="1:1" ht="18.75" customHeight="1">
      <c r="A4150"/>
    </row>
    <row r="4151" spans="1:1" ht="18.75" customHeight="1">
      <c r="A4151"/>
    </row>
    <row r="4152" spans="1:1" ht="18.75" customHeight="1">
      <c r="A4152"/>
    </row>
    <row r="4153" spans="1:1" ht="18.75" customHeight="1">
      <c r="A4153"/>
    </row>
    <row r="4154" spans="1:1" ht="18.75" customHeight="1">
      <c r="A4154"/>
    </row>
    <row r="4155" spans="1:1" ht="18.75" customHeight="1">
      <c r="A4155"/>
    </row>
    <row r="4156" spans="1:1" ht="18.75" customHeight="1">
      <c r="A4156"/>
    </row>
    <row r="4157" spans="1:1" ht="18.75" customHeight="1">
      <c r="A4157"/>
    </row>
    <row r="4158" spans="1:1" ht="18.75" customHeight="1">
      <c r="A4158"/>
    </row>
    <row r="4159" spans="1:1" ht="18.75" customHeight="1">
      <c r="A4159"/>
    </row>
    <row r="4160" spans="1:1" ht="18.75" customHeight="1">
      <c r="A4160"/>
    </row>
    <row r="4161" spans="1:1" ht="18.75" customHeight="1">
      <c r="A4161"/>
    </row>
    <row r="4162" spans="1:1" ht="18.75" customHeight="1">
      <c r="A4162"/>
    </row>
    <row r="4163" spans="1:1" ht="18.75" customHeight="1">
      <c r="A4163"/>
    </row>
    <row r="4164" spans="1:1" ht="18.75" customHeight="1">
      <c r="A4164"/>
    </row>
    <row r="4165" spans="1:1" ht="18.75" customHeight="1">
      <c r="A4165"/>
    </row>
    <row r="4166" spans="1:1" ht="18.75" customHeight="1">
      <c r="A4166"/>
    </row>
    <row r="4167" spans="1:1" ht="18.75" customHeight="1">
      <c r="A4167"/>
    </row>
    <row r="4168" spans="1:1" ht="18.75" customHeight="1">
      <c r="A4168"/>
    </row>
    <row r="4169" spans="1:1" ht="18.75" customHeight="1">
      <c r="A4169"/>
    </row>
    <row r="4170" spans="1:1" ht="18.75" customHeight="1">
      <c r="A4170"/>
    </row>
    <row r="4171" spans="1:1" ht="18.75" customHeight="1">
      <c r="A4171"/>
    </row>
    <row r="4172" spans="1:1" ht="18.75" customHeight="1">
      <c r="A4172"/>
    </row>
    <row r="4173" spans="1:1" ht="18.75" customHeight="1">
      <c r="A4173"/>
    </row>
    <row r="4174" spans="1:1" ht="18.75" customHeight="1">
      <c r="A4174"/>
    </row>
    <row r="4175" spans="1:1" ht="18.75" customHeight="1">
      <c r="A4175"/>
    </row>
    <row r="4176" spans="1:1" ht="18.75" customHeight="1">
      <c r="A4176"/>
    </row>
    <row r="4177" spans="1:1" ht="18.75" customHeight="1">
      <c r="A4177"/>
    </row>
    <row r="4178" spans="1:1" ht="18.75" customHeight="1">
      <c r="A4178"/>
    </row>
    <row r="4179" spans="1:1" ht="18.75" customHeight="1">
      <c r="A4179"/>
    </row>
    <row r="4180" spans="1:1" ht="18.75" customHeight="1">
      <c r="A4180"/>
    </row>
    <row r="4181" spans="1:1" ht="18.75" customHeight="1">
      <c r="A4181"/>
    </row>
    <row r="4182" spans="1:1" ht="18.75" customHeight="1">
      <c r="A4182"/>
    </row>
    <row r="4183" spans="1:1" ht="18.75" customHeight="1">
      <c r="A4183"/>
    </row>
    <row r="4184" spans="1:1" ht="18.75" customHeight="1">
      <c r="A4184"/>
    </row>
    <row r="4185" spans="1:1" ht="18.75" customHeight="1">
      <c r="A4185"/>
    </row>
    <row r="4186" spans="1:1" ht="18.75" customHeight="1">
      <c r="A4186"/>
    </row>
    <row r="4187" spans="1:1" ht="18.75" customHeight="1">
      <c r="A4187"/>
    </row>
    <row r="4188" spans="1:1" ht="18.75" customHeight="1">
      <c r="A4188"/>
    </row>
    <row r="4189" spans="1:1" ht="18.75" customHeight="1">
      <c r="A4189"/>
    </row>
    <row r="4190" spans="1:1" ht="18.75" customHeight="1">
      <c r="A4190"/>
    </row>
    <row r="4191" spans="1:1" ht="18.75" customHeight="1">
      <c r="A4191"/>
    </row>
    <row r="4192" spans="1:1" ht="18.75" customHeight="1">
      <c r="A4192"/>
    </row>
    <row r="4193" spans="1:1" ht="18.75" customHeight="1">
      <c r="A4193"/>
    </row>
    <row r="4194" spans="1:1" ht="18.75" customHeight="1">
      <c r="A4194"/>
    </row>
    <row r="4195" spans="1:1" ht="18.75" customHeight="1">
      <c r="A4195"/>
    </row>
    <row r="4196" spans="1:1" ht="18.75" customHeight="1">
      <c r="A4196"/>
    </row>
    <row r="4197" spans="1:1" ht="18.75" customHeight="1">
      <c r="A4197"/>
    </row>
    <row r="4198" spans="1:1" ht="18.75" customHeight="1">
      <c r="A4198"/>
    </row>
    <row r="4199" spans="1:1" ht="18.75" customHeight="1">
      <c r="A4199"/>
    </row>
    <row r="4200" spans="1:1" ht="18.75" customHeight="1">
      <c r="A4200"/>
    </row>
    <row r="4201" spans="1:1" ht="18.75" customHeight="1">
      <c r="A4201"/>
    </row>
    <row r="4202" spans="1:1" ht="18.75" customHeight="1">
      <c r="A4202"/>
    </row>
    <row r="4203" spans="1:1" ht="18.75" customHeight="1">
      <c r="A4203"/>
    </row>
    <row r="4204" spans="1:1" ht="18.75" customHeight="1">
      <c r="A4204"/>
    </row>
    <row r="4205" spans="1:1" ht="18.75" customHeight="1">
      <c r="A4205"/>
    </row>
    <row r="4206" spans="1:1" ht="18.75" customHeight="1">
      <c r="A4206"/>
    </row>
    <row r="4207" spans="1:1" ht="18.75" customHeight="1">
      <c r="A4207"/>
    </row>
    <row r="4208" spans="1:1" ht="18.75" customHeight="1">
      <c r="A4208"/>
    </row>
    <row r="4209" spans="1:1" ht="18.75" customHeight="1">
      <c r="A4209"/>
    </row>
    <row r="4210" spans="1:1" ht="18.75" customHeight="1">
      <c r="A4210"/>
    </row>
    <row r="4211" spans="1:1" ht="18.75" customHeight="1">
      <c r="A4211"/>
    </row>
    <row r="4212" spans="1:1" ht="18.75" customHeight="1">
      <c r="A4212"/>
    </row>
    <row r="4213" spans="1:1" ht="18.75" customHeight="1">
      <c r="A4213"/>
    </row>
    <row r="4214" spans="1:1" ht="18.75" customHeight="1">
      <c r="A4214"/>
    </row>
    <row r="4215" spans="1:1" ht="18.75" customHeight="1">
      <c r="A4215"/>
    </row>
    <row r="4216" spans="1:1" ht="18.75" customHeight="1">
      <c r="A4216"/>
    </row>
    <row r="4217" spans="1:1" ht="18.75" customHeight="1">
      <c r="A4217"/>
    </row>
    <row r="4218" spans="1:1" ht="18.75" customHeight="1">
      <c r="A4218"/>
    </row>
    <row r="4219" spans="1:1" ht="18.75" customHeight="1">
      <c r="A4219"/>
    </row>
    <row r="4220" spans="1:1" ht="18.75" customHeight="1">
      <c r="A4220"/>
    </row>
    <row r="4221" spans="1:1" ht="18.75" customHeight="1">
      <c r="A4221"/>
    </row>
    <row r="4222" spans="1:1" ht="18.75" customHeight="1">
      <c r="A4222"/>
    </row>
    <row r="4223" spans="1:1" ht="18.75" customHeight="1">
      <c r="A4223"/>
    </row>
    <row r="4224" spans="1:1" ht="18.75" customHeight="1">
      <c r="A4224"/>
    </row>
    <row r="4225" spans="1:1" ht="18.75" customHeight="1">
      <c r="A4225"/>
    </row>
    <row r="4226" spans="1:1" ht="18.75" customHeight="1">
      <c r="A4226"/>
    </row>
    <row r="4227" spans="1:1" ht="18.75" customHeight="1">
      <c r="A4227"/>
    </row>
    <row r="4228" spans="1:1" ht="18.75" customHeight="1">
      <c r="A4228"/>
    </row>
    <row r="4229" spans="1:1" ht="18.75" customHeight="1">
      <c r="A4229"/>
    </row>
    <row r="4230" spans="1:1" ht="18.75" customHeight="1">
      <c r="A4230"/>
    </row>
    <row r="4231" spans="1:1" ht="18.75" customHeight="1">
      <c r="A4231"/>
    </row>
    <row r="4232" spans="1:1" ht="18.75" customHeight="1">
      <c r="A4232"/>
    </row>
    <row r="4233" spans="1:1" ht="18.75" customHeight="1">
      <c r="A4233"/>
    </row>
    <row r="4234" spans="1:1" ht="18.75" customHeight="1">
      <c r="A4234"/>
    </row>
    <row r="4235" spans="1:1" ht="18.75" customHeight="1">
      <c r="A4235"/>
    </row>
    <row r="4236" spans="1:1" ht="18.75" customHeight="1">
      <c r="A4236"/>
    </row>
    <row r="4237" spans="1:1" ht="18.75" customHeight="1">
      <c r="A4237"/>
    </row>
    <row r="4238" spans="1:1" ht="18.75" customHeight="1">
      <c r="A4238"/>
    </row>
    <row r="4239" spans="1:1" ht="18.75" customHeight="1">
      <c r="A4239"/>
    </row>
    <row r="4240" spans="1:1" ht="18.75" customHeight="1">
      <c r="A4240"/>
    </row>
    <row r="4241" spans="1:1" ht="18.75" customHeight="1">
      <c r="A4241"/>
    </row>
    <row r="4242" spans="1:1" ht="18.75" customHeight="1">
      <c r="A4242"/>
    </row>
    <row r="4243" spans="1:1" ht="18.75" customHeight="1">
      <c r="A4243"/>
    </row>
    <row r="4244" spans="1:1" ht="18.75" customHeight="1">
      <c r="A4244"/>
    </row>
    <row r="4245" spans="1:1" ht="18.75" customHeight="1">
      <c r="A4245"/>
    </row>
    <row r="4246" spans="1:1" ht="18.75" customHeight="1">
      <c r="A4246"/>
    </row>
    <row r="4247" spans="1:1" ht="18.75" customHeight="1">
      <c r="A4247"/>
    </row>
    <row r="4248" spans="1:1" ht="18.75" customHeight="1">
      <c r="A4248"/>
    </row>
    <row r="4249" spans="1:1" ht="18.75" customHeight="1">
      <c r="A4249"/>
    </row>
    <row r="4250" spans="1:1" ht="18.75" customHeight="1">
      <c r="A4250"/>
    </row>
    <row r="4251" spans="1:1" ht="18.75" customHeight="1">
      <c r="A4251"/>
    </row>
    <row r="4252" spans="1:1" ht="18.75" customHeight="1">
      <c r="A4252"/>
    </row>
    <row r="4253" spans="1:1" ht="18.75" customHeight="1">
      <c r="A4253"/>
    </row>
    <row r="4254" spans="1:1" ht="18.75" customHeight="1">
      <c r="A4254"/>
    </row>
    <row r="4255" spans="1:1" ht="18.75" customHeight="1">
      <c r="A4255"/>
    </row>
    <row r="4256" spans="1:1" ht="18.75" customHeight="1">
      <c r="A4256"/>
    </row>
    <row r="4257" spans="1:1" ht="18.75" customHeight="1">
      <c r="A4257"/>
    </row>
    <row r="4258" spans="1:1" ht="18.75" customHeight="1">
      <c r="A4258"/>
    </row>
    <row r="4259" spans="1:1" ht="18.75" customHeight="1">
      <c r="A4259"/>
    </row>
    <row r="4260" spans="1:1" ht="18.75" customHeight="1">
      <c r="A4260"/>
    </row>
    <row r="4261" spans="1:1" ht="18.75" customHeight="1">
      <c r="A4261"/>
    </row>
    <row r="4262" spans="1:1" ht="18.75" customHeight="1">
      <c r="A4262"/>
    </row>
    <row r="4263" spans="1:1" ht="18.75" customHeight="1">
      <c r="A4263"/>
    </row>
    <row r="4264" spans="1:1" ht="18.75" customHeight="1">
      <c r="A4264"/>
    </row>
    <row r="4265" spans="1:1" ht="18.75" customHeight="1">
      <c r="A4265"/>
    </row>
    <row r="4266" spans="1:1" ht="18.75" customHeight="1">
      <c r="A4266"/>
    </row>
    <row r="4267" spans="1:1" ht="18.75" customHeight="1">
      <c r="A4267"/>
    </row>
    <row r="4268" spans="1:1" ht="18.75" customHeight="1">
      <c r="A4268"/>
    </row>
    <row r="4269" spans="1:1" ht="18.75" customHeight="1">
      <c r="A4269"/>
    </row>
    <row r="4270" spans="1:1" ht="18.75" customHeight="1">
      <c r="A4270"/>
    </row>
    <row r="4271" spans="1:1" ht="18.75" customHeight="1">
      <c r="A4271"/>
    </row>
    <row r="4272" spans="1:1" ht="18.75" customHeight="1">
      <c r="A4272"/>
    </row>
    <row r="4273" spans="1:1" ht="18.75" customHeight="1">
      <c r="A4273"/>
    </row>
    <row r="4274" spans="1:1" ht="18.75" customHeight="1">
      <c r="A4274"/>
    </row>
    <row r="4275" spans="1:1" ht="18.75" customHeight="1">
      <c r="A4275"/>
    </row>
    <row r="4276" spans="1:1" ht="18.75" customHeight="1">
      <c r="A4276"/>
    </row>
    <row r="4277" spans="1:1" ht="18.75" customHeight="1">
      <c r="A4277"/>
    </row>
    <row r="4278" spans="1:1" ht="18.75" customHeight="1">
      <c r="A4278"/>
    </row>
    <row r="4279" spans="1:1" ht="18.75" customHeight="1">
      <c r="A4279"/>
    </row>
    <row r="4280" spans="1:1" ht="18.75" customHeight="1">
      <c r="A4280"/>
    </row>
    <row r="4281" spans="1:1" ht="18.75" customHeight="1">
      <c r="A4281"/>
    </row>
    <row r="4282" spans="1:1" ht="18.75" customHeight="1">
      <c r="A4282"/>
    </row>
    <row r="4283" spans="1:1" ht="18.75" customHeight="1">
      <c r="A4283"/>
    </row>
    <row r="4284" spans="1:1" ht="18.75" customHeight="1">
      <c r="A4284"/>
    </row>
    <row r="4285" spans="1:1" ht="18.75" customHeight="1">
      <c r="A4285"/>
    </row>
    <row r="4286" spans="1:1" ht="18.75" customHeight="1">
      <c r="A4286"/>
    </row>
    <row r="4287" spans="1:1" ht="18.75" customHeight="1">
      <c r="A4287"/>
    </row>
    <row r="4288" spans="1:1" ht="18.75" customHeight="1">
      <c r="A4288"/>
    </row>
    <row r="4289" spans="1:1" ht="18.75" customHeight="1">
      <c r="A4289"/>
    </row>
    <row r="4290" spans="1:1" ht="18.75" customHeight="1">
      <c r="A4290"/>
    </row>
    <row r="4291" spans="1:1" ht="18.75" customHeight="1">
      <c r="A4291"/>
    </row>
    <row r="4292" spans="1:1" ht="18.75" customHeight="1">
      <c r="A4292"/>
    </row>
    <row r="4293" spans="1:1" ht="18.75" customHeight="1">
      <c r="A4293"/>
    </row>
    <row r="4294" spans="1:1" ht="18.75" customHeight="1">
      <c r="A4294"/>
    </row>
    <row r="4295" spans="1:1" ht="18.75" customHeight="1">
      <c r="A4295"/>
    </row>
    <row r="4296" spans="1:1" ht="18.75" customHeight="1">
      <c r="A4296"/>
    </row>
    <row r="4297" spans="1:1" ht="18.75" customHeight="1">
      <c r="A4297"/>
    </row>
    <row r="4298" spans="1:1" ht="18.75" customHeight="1">
      <c r="A4298"/>
    </row>
    <row r="4299" spans="1:1" ht="18.75" customHeight="1">
      <c r="A4299"/>
    </row>
    <row r="4300" spans="1:1" ht="18.75" customHeight="1">
      <c r="A4300"/>
    </row>
    <row r="4301" spans="1:1" ht="18.75" customHeight="1">
      <c r="A4301"/>
    </row>
    <row r="4302" spans="1:1" ht="18.75" customHeight="1">
      <c r="A4302"/>
    </row>
    <row r="4303" spans="1:1" ht="18.75" customHeight="1">
      <c r="A4303"/>
    </row>
    <row r="4304" spans="1:1" ht="18.75" customHeight="1">
      <c r="A4304"/>
    </row>
    <row r="4305" spans="1:1" ht="18.75" customHeight="1">
      <c r="A4305"/>
    </row>
    <row r="4306" spans="1:1" ht="18.75" customHeight="1">
      <c r="A4306"/>
    </row>
    <row r="4307" spans="1:1" ht="18.75" customHeight="1">
      <c r="A4307"/>
    </row>
    <row r="4308" spans="1:1" ht="18.75" customHeight="1">
      <c r="A4308"/>
    </row>
    <row r="4309" spans="1:1" ht="18.75" customHeight="1">
      <c r="A4309"/>
    </row>
    <row r="4310" spans="1:1" ht="18.75" customHeight="1">
      <c r="A4310"/>
    </row>
    <row r="4311" spans="1:1" ht="18.75" customHeight="1">
      <c r="A4311"/>
    </row>
    <row r="4312" spans="1:1" ht="18.75" customHeight="1">
      <c r="A4312"/>
    </row>
    <row r="4313" spans="1:1" ht="18.75" customHeight="1">
      <c r="A4313"/>
    </row>
    <row r="4314" spans="1:1" ht="18.75" customHeight="1">
      <c r="A4314"/>
    </row>
    <row r="4315" spans="1:1" ht="18.75" customHeight="1">
      <c r="A4315"/>
    </row>
    <row r="4316" spans="1:1" ht="18.75" customHeight="1">
      <c r="A4316"/>
    </row>
    <row r="4317" spans="1:1" ht="18.75" customHeight="1">
      <c r="A4317"/>
    </row>
    <row r="4318" spans="1:1" ht="18.75" customHeight="1">
      <c r="A4318"/>
    </row>
    <row r="4319" spans="1:1" ht="18.75" customHeight="1">
      <c r="A4319"/>
    </row>
    <row r="4320" spans="1:1" ht="18.75" customHeight="1">
      <c r="A4320"/>
    </row>
    <row r="4321" spans="1:1" ht="18.75" customHeight="1">
      <c r="A4321"/>
    </row>
    <row r="4322" spans="1:1" ht="18.75" customHeight="1">
      <c r="A4322"/>
    </row>
    <row r="4323" spans="1:1" ht="18.75" customHeight="1">
      <c r="A4323"/>
    </row>
    <row r="4324" spans="1:1" ht="18.75" customHeight="1">
      <c r="A4324"/>
    </row>
    <row r="4325" spans="1:1" ht="18.75" customHeight="1">
      <c r="A4325"/>
    </row>
    <row r="4326" spans="1:1" ht="18.75" customHeight="1">
      <c r="A4326"/>
    </row>
    <row r="4327" spans="1:1" ht="18.75" customHeight="1">
      <c r="A4327"/>
    </row>
    <row r="4328" spans="1:1" ht="18.75" customHeight="1">
      <c r="A4328"/>
    </row>
    <row r="4329" spans="1:1" ht="18.75" customHeight="1">
      <c r="A4329"/>
    </row>
    <row r="4330" spans="1:1" ht="18.75" customHeight="1">
      <c r="A4330"/>
    </row>
    <row r="4331" spans="1:1" ht="18.75" customHeight="1">
      <c r="A4331"/>
    </row>
    <row r="4332" spans="1:1" ht="18.75" customHeight="1">
      <c r="A4332"/>
    </row>
    <row r="4333" spans="1:1" ht="18.75" customHeight="1">
      <c r="A4333"/>
    </row>
    <row r="4334" spans="1:1" ht="18.75" customHeight="1">
      <c r="A4334"/>
    </row>
    <row r="4335" spans="1:1" ht="18.75" customHeight="1">
      <c r="A4335"/>
    </row>
    <row r="4336" spans="1:1" ht="18.75" customHeight="1">
      <c r="A4336"/>
    </row>
    <row r="4337" spans="1:1" ht="18.75" customHeight="1">
      <c r="A4337"/>
    </row>
    <row r="4338" spans="1:1" ht="18.75" customHeight="1">
      <c r="A4338"/>
    </row>
    <row r="4339" spans="1:1" ht="18.75" customHeight="1">
      <c r="A4339"/>
    </row>
    <row r="4340" spans="1:1" ht="18.75" customHeight="1">
      <c r="A4340"/>
    </row>
    <row r="4341" spans="1:1" ht="18.75" customHeight="1">
      <c r="A4341"/>
    </row>
    <row r="4342" spans="1:1" ht="18.75" customHeight="1">
      <c r="A4342"/>
    </row>
    <row r="4343" spans="1:1" ht="18.75" customHeight="1">
      <c r="A4343"/>
    </row>
    <row r="4344" spans="1:1" ht="18.75" customHeight="1">
      <c r="A4344"/>
    </row>
    <row r="4345" spans="1:1" ht="18.75" customHeight="1">
      <c r="A4345"/>
    </row>
    <row r="4346" spans="1:1" ht="18.75" customHeight="1">
      <c r="A4346"/>
    </row>
    <row r="4347" spans="1:1" ht="18.75" customHeight="1">
      <c r="A4347"/>
    </row>
    <row r="4348" spans="1:1" ht="18.75" customHeight="1">
      <c r="A4348"/>
    </row>
    <row r="4349" spans="1:1" ht="18.75" customHeight="1">
      <c r="A4349"/>
    </row>
    <row r="4350" spans="1:1" ht="18.75" customHeight="1">
      <c r="A4350"/>
    </row>
    <row r="4351" spans="1:1" ht="18.75" customHeight="1">
      <c r="A4351"/>
    </row>
    <row r="4352" spans="1:1" ht="18.75" customHeight="1">
      <c r="A4352"/>
    </row>
    <row r="4353" spans="1:1" ht="18.75" customHeight="1">
      <c r="A4353"/>
    </row>
    <row r="4354" spans="1:1" ht="18.75" customHeight="1">
      <c r="A4354"/>
    </row>
    <row r="4355" spans="1:1" ht="18.75" customHeight="1">
      <c r="A4355"/>
    </row>
    <row r="4356" spans="1:1" ht="18.75" customHeight="1">
      <c r="A4356"/>
    </row>
    <row r="4357" spans="1:1" ht="18.75" customHeight="1">
      <c r="A4357"/>
    </row>
    <row r="4358" spans="1:1" ht="18.75" customHeight="1">
      <c r="A4358"/>
    </row>
    <row r="4359" spans="1:1" ht="18.75" customHeight="1">
      <c r="A4359"/>
    </row>
    <row r="4360" spans="1:1" ht="18.75" customHeight="1">
      <c r="A4360"/>
    </row>
    <row r="4361" spans="1:1" ht="18.75" customHeight="1">
      <c r="A4361"/>
    </row>
    <row r="4362" spans="1:1" ht="18.75" customHeight="1">
      <c r="A4362"/>
    </row>
    <row r="4363" spans="1:1" ht="18.75" customHeight="1">
      <c r="A4363"/>
    </row>
    <row r="4364" spans="1:1" ht="18.75" customHeight="1">
      <c r="A4364"/>
    </row>
    <row r="4365" spans="1:1" ht="18.75" customHeight="1">
      <c r="A4365"/>
    </row>
    <row r="4366" spans="1:1" ht="18.75" customHeight="1">
      <c r="A4366"/>
    </row>
    <row r="4367" spans="1:1" ht="18.75" customHeight="1">
      <c r="A4367"/>
    </row>
    <row r="4368" spans="1:1" ht="18.75" customHeight="1">
      <c r="A4368"/>
    </row>
    <row r="4369" spans="1:1" ht="18.75" customHeight="1">
      <c r="A4369"/>
    </row>
    <row r="4370" spans="1:1" ht="18.75" customHeight="1">
      <c r="A4370"/>
    </row>
    <row r="4371" spans="1:1" ht="18.75" customHeight="1">
      <c r="A4371"/>
    </row>
    <row r="4372" spans="1:1" ht="18.75" customHeight="1">
      <c r="A4372"/>
    </row>
    <row r="4373" spans="1:1" ht="18.75" customHeight="1">
      <c r="A4373"/>
    </row>
    <row r="4374" spans="1:1" ht="18.75" customHeight="1">
      <c r="A4374"/>
    </row>
    <row r="4375" spans="1:1" ht="18.75" customHeight="1">
      <c r="A4375"/>
    </row>
    <row r="4376" spans="1:1" ht="18.75" customHeight="1">
      <c r="A4376"/>
    </row>
    <row r="4377" spans="1:1" ht="18.75" customHeight="1">
      <c r="A4377"/>
    </row>
    <row r="4378" spans="1:1" ht="18.75" customHeight="1">
      <c r="A4378"/>
    </row>
    <row r="4379" spans="1:1" ht="18.75" customHeight="1">
      <c r="A4379"/>
    </row>
    <row r="4380" spans="1:1" ht="18.75" customHeight="1">
      <c r="A4380"/>
    </row>
    <row r="4381" spans="1:1" ht="18.75" customHeight="1">
      <c r="A4381"/>
    </row>
    <row r="4382" spans="1:1" ht="18.75" customHeight="1">
      <c r="A4382"/>
    </row>
    <row r="4383" spans="1:1" ht="18.75" customHeight="1">
      <c r="A4383"/>
    </row>
    <row r="4384" spans="1:1" ht="18.75" customHeight="1">
      <c r="A4384"/>
    </row>
    <row r="4385" spans="1:1" ht="18.75" customHeight="1">
      <c r="A4385"/>
    </row>
    <row r="4386" spans="1:1" ht="18.75" customHeight="1">
      <c r="A4386"/>
    </row>
    <row r="4387" spans="1:1" ht="18.75" customHeight="1">
      <c r="A4387"/>
    </row>
    <row r="4388" spans="1:1" ht="18.75" customHeight="1">
      <c r="A4388"/>
    </row>
    <row r="4389" spans="1:1" ht="18.75" customHeight="1">
      <c r="A4389"/>
    </row>
    <row r="4390" spans="1:1" ht="18.75" customHeight="1">
      <c r="A4390"/>
    </row>
    <row r="4391" spans="1:1" ht="18.75" customHeight="1">
      <c r="A4391"/>
    </row>
    <row r="4392" spans="1:1" ht="18.75" customHeight="1">
      <c r="A4392"/>
    </row>
    <row r="4393" spans="1:1" ht="18.75" customHeight="1">
      <c r="A4393"/>
    </row>
    <row r="4394" spans="1:1" ht="18.75" customHeight="1">
      <c r="A4394"/>
    </row>
    <row r="4395" spans="1:1" ht="18.75" customHeight="1">
      <c r="A4395"/>
    </row>
    <row r="4396" spans="1:1" ht="18.75" customHeight="1">
      <c r="A4396"/>
    </row>
    <row r="4397" spans="1:1" ht="18.75" customHeight="1">
      <c r="A4397"/>
    </row>
    <row r="4398" spans="1:1" ht="18.75" customHeight="1">
      <c r="A4398"/>
    </row>
    <row r="4399" spans="1:1" ht="18.75" customHeight="1">
      <c r="A4399"/>
    </row>
    <row r="4400" spans="1:1" ht="18.75" customHeight="1">
      <c r="A4400"/>
    </row>
    <row r="4401" spans="1:1" ht="18.75" customHeight="1">
      <c r="A4401"/>
    </row>
    <row r="4402" spans="1:1" ht="18.75" customHeight="1">
      <c r="A4402"/>
    </row>
    <row r="4403" spans="1:1" ht="18.75" customHeight="1">
      <c r="A4403"/>
    </row>
    <row r="4404" spans="1:1" ht="18.75" customHeight="1">
      <c r="A4404"/>
    </row>
    <row r="4405" spans="1:1" ht="18.75" customHeight="1">
      <c r="A4405"/>
    </row>
    <row r="4406" spans="1:1" ht="18.75" customHeight="1">
      <c r="A4406"/>
    </row>
    <row r="4407" spans="1:1" ht="18.75" customHeight="1">
      <c r="A4407"/>
    </row>
    <row r="4408" spans="1:1" ht="18.75" customHeight="1">
      <c r="A4408"/>
    </row>
    <row r="4409" spans="1:1" ht="18.75" customHeight="1">
      <c r="A4409"/>
    </row>
    <row r="4410" spans="1:1" ht="18.75" customHeight="1">
      <c r="A4410"/>
    </row>
    <row r="4411" spans="1:1" ht="18.75" customHeight="1">
      <c r="A4411"/>
    </row>
    <row r="4412" spans="1:1" ht="18.75" customHeight="1">
      <c r="A4412"/>
    </row>
    <row r="4413" spans="1:1" ht="18.75" customHeight="1">
      <c r="A4413"/>
    </row>
    <row r="4414" spans="1:1" ht="18.75" customHeight="1">
      <c r="A4414"/>
    </row>
    <row r="4415" spans="1:1" ht="18.75" customHeight="1">
      <c r="A4415"/>
    </row>
    <row r="4416" spans="1:1" ht="18.75" customHeight="1">
      <c r="A4416"/>
    </row>
    <row r="4417" spans="1:1" ht="18.75" customHeight="1">
      <c r="A4417"/>
    </row>
    <row r="4418" spans="1:1" ht="18.75" customHeight="1">
      <c r="A4418"/>
    </row>
    <row r="4419" spans="1:1" ht="18.75" customHeight="1">
      <c r="A4419"/>
    </row>
    <row r="4420" spans="1:1" ht="18.75" customHeight="1">
      <c r="A4420"/>
    </row>
    <row r="4421" spans="1:1" ht="18.75" customHeight="1">
      <c r="A4421"/>
    </row>
    <row r="4422" spans="1:1" ht="18.75" customHeight="1">
      <c r="A4422"/>
    </row>
    <row r="4423" spans="1:1" ht="18.75" customHeight="1">
      <c r="A4423"/>
    </row>
    <row r="4424" spans="1:1" ht="18.75" customHeight="1">
      <c r="A4424"/>
    </row>
    <row r="4425" spans="1:1" ht="18.75" customHeight="1">
      <c r="A4425"/>
    </row>
    <row r="4426" spans="1:1" ht="18.75" customHeight="1">
      <c r="A4426"/>
    </row>
    <row r="4427" spans="1:1" ht="18.75" customHeight="1">
      <c r="A4427"/>
    </row>
    <row r="4428" spans="1:1" ht="18.75" customHeight="1">
      <c r="A4428"/>
    </row>
    <row r="4429" spans="1:1" ht="18.75" customHeight="1">
      <c r="A4429"/>
    </row>
    <row r="4430" spans="1:1" ht="18.75" customHeight="1">
      <c r="A4430"/>
    </row>
    <row r="4431" spans="1:1" ht="18.75" customHeight="1">
      <c r="A4431"/>
    </row>
    <row r="4432" spans="1:1" ht="18.75" customHeight="1">
      <c r="A4432"/>
    </row>
    <row r="4433" spans="1:1" ht="18.75" customHeight="1">
      <c r="A4433"/>
    </row>
    <row r="4434" spans="1:1" ht="18.75" customHeight="1">
      <c r="A4434"/>
    </row>
    <row r="4435" spans="1:1" ht="18.75" customHeight="1">
      <c r="A4435"/>
    </row>
    <row r="4436" spans="1:1" ht="18.75" customHeight="1">
      <c r="A4436"/>
    </row>
    <row r="4437" spans="1:1" ht="18.75" customHeight="1">
      <c r="A4437"/>
    </row>
    <row r="4438" spans="1:1" ht="18.75" customHeight="1">
      <c r="A4438"/>
    </row>
    <row r="4439" spans="1:1" ht="18.75" customHeight="1">
      <c r="A4439"/>
    </row>
    <row r="4440" spans="1:1" ht="18.75" customHeight="1">
      <c r="A4440"/>
    </row>
    <row r="4441" spans="1:1" ht="18.75" customHeight="1">
      <c r="A4441"/>
    </row>
    <row r="4442" spans="1:1" ht="18.75" customHeight="1">
      <c r="A4442"/>
    </row>
    <row r="4443" spans="1:1" ht="18.75" customHeight="1">
      <c r="A4443"/>
    </row>
    <row r="4444" spans="1:1" ht="18.75" customHeight="1">
      <c r="A4444"/>
    </row>
    <row r="4445" spans="1:1" ht="18.75" customHeight="1">
      <c r="A4445"/>
    </row>
    <row r="4446" spans="1:1" ht="18.75" customHeight="1">
      <c r="A4446"/>
    </row>
    <row r="4447" spans="1:1" ht="18.75" customHeight="1">
      <c r="A4447"/>
    </row>
    <row r="4448" spans="1:1" ht="18.75" customHeight="1">
      <c r="A4448"/>
    </row>
    <row r="4449" spans="1:1" ht="18.75" customHeight="1">
      <c r="A4449"/>
    </row>
    <row r="4450" spans="1:1" ht="18.75" customHeight="1">
      <c r="A4450"/>
    </row>
    <row r="4451" spans="1:1" ht="18.75" customHeight="1">
      <c r="A4451"/>
    </row>
    <row r="4452" spans="1:1" ht="18.75" customHeight="1">
      <c r="A4452"/>
    </row>
    <row r="4453" spans="1:1" ht="18.75" customHeight="1">
      <c r="A4453"/>
    </row>
    <row r="4454" spans="1:1" ht="18.75" customHeight="1">
      <c r="A4454"/>
    </row>
    <row r="4455" spans="1:1" ht="18.75" customHeight="1">
      <c r="A4455"/>
    </row>
    <row r="4456" spans="1:1" ht="18.75" customHeight="1">
      <c r="A4456"/>
    </row>
    <row r="4457" spans="1:1" ht="18.75" customHeight="1">
      <c r="A4457"/>
    </row>
    <row r="4458" spans="1:1" ht="18.75" customHeight="1">
      <c r="A4458"/>
    </row>
    <row r="4459" spans="1:1" ht="18.75" customHeight="1">
      <c r="A4459"/>
    </row>
    <row r="4460" spans="1:1" ht="18.75" customHeight="1">
      <c r="A4460"/>
    </row>
    <row r="4461" spans="1:1" ht="18.75" customHeight="1">
      <c r="A4461"/>
    </row>
    <row r="4462" spans="1:1" ht="18.75" customHeight="1">
      <c r="A4462"/>
    </row>
    <row r="4463" spans="1:1" ht="18.75" customHeight="1">
      <c r="A4463"/>
    </row>
    <row r="4464" spans="1:1" ht="18.75" customHeight="1">
      <c r="A4464"/>
    </row>
    <row r="4465" spans="1:1" ht="18.75" customHeight="1">
      <c r="A4465"/>
    </row>
    <row r="4466" spans="1:1" ht="18.75" customHeight="1">
      <c r="A4466"/>
    </row>
    <row r="4467" spans="1:1" ht="18.75" customHeight="1">
      <c r="A4467"/>
    </row>
    <row r="4468" spans="1:1" ht="18.75" customHeight="1">
      <c r="A4468"/>
    </row>
    <row r="4469" spans="1:1" ht="18.75" customHeight="1">
      <c r="A4469"/>
    </row>
    <row r="4470" spans="1:1" ht="18.75" customHeight="1">
      <c r="A4470"/>
    </row>
    <row r="4471" spans="1:1" ht="18.75" customHeight="1">
      <c r="A4471"/>
    </row>
    <row r="4472" spans="1:1" ht="18.75" customHeight="1">
      <c r="A4472"/>
    </row>
    <row r="4473" spans="1:1" ht="18.75" customHeight="1">
      <c r="A4473"/>
    </row>
    <row r="4474" spans="1:1" ht="18.75" customHeight="1">
      <c r="A4474"/>
    </row>
    <row r="4475" spans="1:1" ht="18.75" customHeight="1">
      <c r="A4475"/>
    </row>
    <row r="4476" spans="1:1" ht="18.75" customHeight="1">
      <c r="A4476"/>
    </row>
    <row r="4477" spans="1:1" ht="18.75" customHeight="1">
      <c r="A4477"/>
    </row>
    <row r="4478" spans="1:1" ht="18.75" customHeight="1">
      <c r="A4478"/>
    </row>
    <row r="4479" spans="1:1" ht="18.75" customHeight="1">
      <c r="A4479"/>
    </row>
    <row r="4480" spans="1:1" ht="18.75" customHeight="1">
      <c r="A4480"/>
    </row>
    <row r="4481" spans="1:1" ht="18.75" customHeight="1">
      <c r="A4481"/>
    </row>
    <row r="4482" spans="1:1" ht="18.75" customHeight="1">
      <c r="A4482"/>
    </row>
    <row r="4483" spans="1:1" ht="18.75" customHeight="1">
      <c r="A4483"/>
    </row>
    <row r="4484" spans="1:1" ht="18.75" customHeight="1">
      <c r="A4484"/>
    </row>
    <row r="4485" spans="1:1" ht="18.75" customHeight="1">
      <c r="A4485"/>
    </row>
    <row r="4486" spans="1:1" ht="18.75" customHeight="1">
      <c r="A4486"/>
    </row>
    <row r="4487" spans="1:1" ht="18.75" customHeight="1">
      <c r="A4487"/>
    </row>
    <row r="4488" spans="1:1" ht="18.75" customHeight="1">
      <c r="A4488"/>
    </row>
    <row r="4489" spans="1:1" ht="18.75" customHeight="1">
      <c r="A4489"/>
    </row>
    <row r="4490" spans="1:1" ht="18.75" customHeight="1">
      <c r="A4490"/>
    </row>
    <row r="4491" spans="1:1" ht="18.75" customHeight="1">
      <c r="A4491"/>
    </row>
    <row r="4492" spans="1:1" ht="18.75" customHeight="1">
      <c r="A4492"/>
    </row>
    <row r="4493" spans="1:1" ht="18.75" customHeight="1">
      <c r="A4493"/>
    </row>
    <row r="4494" spans="1:1" ht="18.75" customHeight="1">
      <c r="A4494"/>
    </row>
    <row r="4495" spans="1:1" ht="18.75" customHeight="1">
      <c r="A4495"/>
    </row>
    <row r="4496" spans="1:1" ht="18.75" customHeight="1">
      <c r="A4496"/>
    </row>
    <row r="4497" spans="1:1" ht="18.75" customHeight="1">
      <c r="A4497"/>
    </row>
    <row r="4498" spans="1:1" ht="18.75" customHeight="1">
      <c r="A4498"/>
    </row>
    <row r="4499" spans="1:1" ht="18.75" customHeight="1">
      <c r="A4499"/>
    </row>
    <row r="4500" spans="1:1" ht="18.75" customHeight="1">
      <c r="A4500"/>
    </row>
    <row r="4501" spans="1:1" ht="18.75" customHeight="1">
      <c r="A4501"/>
    </row>
    <row r="4502" spans="1:1" ht="18.75" customHeight="1">
      <c r="A4502"/>
    </row>
    <row r="4503" spans="1:1" ht="18.75" customHeight="1">
      <c r="A4503"/>
    </row>
    <row r="4504" spans="1:1" ht="18.75" customHeight="1">
      <c r="A4504"/>
    </row>
    <row r="4505" spans="1:1" ht="18.75" customHeight="1">
      <c r="A4505"/>
    </row>
    <row r="4506" spans="1:1" ht="18.75" customHeight="1">
      <c r="A4506"/>
    </row>
    <row r="4507" spans="1:1" ht="18.75" customHeight="1">
      <c r="A4507"/>
    </row>
    <row r="4508" spans="1:1" ht="18.75" customHeight="1">
      <c r="A4508"/>
    </row>
    <row r="4509" spans="1:1" ht="18.75" customHeight="1">
      <c r="A4509"/>
    </row>
    <row r="4510" spans="1:1" ht="18.75" customHeight="1">
      <c r="A4510"/>
    </row>
    <row r="4511" spans="1:1" ht="18.75" customHeight="1">
      <c r="A4511"/>
    </row>
    <row r="4512" spans="1:1" ht="18.75" customHeight="1">
      <c r="A4512"/>
    </row>
    <row r="4513" spans="1:1" ht="18.75" customHeight="1">
      <c r="A4513"/>
    </row>
    <row r="4514" spans="1:1" ht="18.75" customHeight="1">
      <c r="A4514"/>
    </row>
    <row r="4515" spans="1:1" ht="18.75" customHeight="1">
      <c r="A4515"/>
    </row>
    <row r="4516" spans="1:1" ht="18.75" customHeight="1">
      <c r="A4516"/>
    </row>
    <row r="4517" spans="1:1" ht="18.75" customHeight="1">
      <c r="A4517"/>
    </row>
    <row r="4518" spans="1:1" ht="18.75" customHeight="1">
      <c r="A4518"/>
    </row>
    <row r="4519" spans="1:1" ht="18.75" customHeight="1">
      <c r="A4519"/>
    </row>
    <row r="4520" spans="1:1" ht="18.75" customHeight="1">
      <c r="A4520"/>
    </row>
    <row r="4521" spans="1:1" ht="18.75" customHeight="1">
      <c r="A4521"/>
    </row>
    <row r="4522" spans="1:1" ht="18.75" customHeight="1">
      <c r="A4522"/>
    </row>
    <row r="4523" spans="1:1" ht="18.75" customHeight="1">
      <c r="A4523"/>
    </row>
    <row r="4524" spans="1:1" ht="18.75" customHeight="1">
      <c r="A4524"/>
    </row>
    <row r="4525" spans="1:1" ht="18.75" customHeight="1">
      <c r="A4525"/>
    </row>
    <row r="4526" spans="1:1" ht="18.75" customHeight="1">
      <c r="A4526"/>
    </row>
    <row r="4527" spans="1:1" ht="18.75" customHeight="1">
      <c r="A4527"/>
    </row>
    <row r="4528" spans="1:1" ht="18.75" customHeight="1">
      <c r="A4528"/>
    </row>
    <row r="4529" spans="1:1" ht="18.75" customHeight="1">
      <c r="A4529"/>
    </row>
    <row r="4530" spans="1:1" ht="18.75" customHeight="1">
      <c r="A4530"/>
    </row>
    <row r="4531" spans="1:1" ht="18.75" customHeight="1">
      <c r="A4531"/>
    </row>
    <row r="4532" spans="1:1" ht="18.75" customHeight="1">
      <c r="A4532"/>
    </row>
    <row r="4533" spans="1:1" ht="18.75" customHeight="1">
      <c r="A4533"/>
    </row>
    <row r="4534" spans="1:1" ht="18.75" customHeight="1">
      <c r="A4534"/>
    </row>
    <row r="4535" spans="1:1" ht="18.75" customHeight="1">
      <c r="A4535"/>
    </row>
    <row r="4536" spans="1:1" ht="18.75" customHeight="1">
      <c r="A4536"/>
    </row>
    <row r="4537" spans="1:1" ht="18.75" customHeight="1">
      <c r="A4537"/>
    </row>
    <row r="4538" spans="1:1" ht="18.75" customHeight="1">
      <c r="A4538"/>
    </row>
    <row r="4539" spans="1:1" ht="18.75" customHeight="1">
      <c r="A4539"/>
    </row>
    <row r="4540" spans="1:1" ht="18.75" customHeight="1">
      <c r="A4540"/>
    </row>
    <row r="4541" spans="1:1" ht="18.75" customHeight="1">
      <c r="A4541"/>
    </row>
    <row r="4542" spans="1:1" ht="18.75" customHeight="1">
      <c r="A4542"/>
    </row>
    <row r="4543" spans="1:1" ht="18.75" customHeight="1">
      <c r="A4543"/>
    </row>
    <row r="4544" spans="1:1" ht="18.75" customHeight="1">
      <c r="A4544"/>
    </row>
    <row r="4545" spans="1:1" ht="18.75" customHeight="1">
      <c r="A4545"/>
    </row>
    <row r="4546" spans="1:1" ht="18.75" customHeight="1">
      <c r="A4546"/>
    </row>
    <row r="4547" spans="1:1" ht="18.75" customHeight="1">
      <c r="A4547"/>
    </row>
    <row r="4548" spans="1:1" ht="18.75" customHeight="1">
      <c r="A4548"/>
    </row>
    <row r="4549" spans="1:1" ht="18.75" customHeight="1">
      <c r="A4549"/>
    </row>
    <row r="4550" spans="1:1" ht="18.75" customHeight="1">
      <c r="A4550"/>
    </row>
    <row r="4551" spans="1:1" ht="18.75" customHeight="1">
      <c r="A4551"/>
    </row>
    <row r="4552" spans="1:1" ht="18.75" customHeight="1">
      <c r="A4552"/>
    </row>
    <row r="4553" spans="1:1" ht="18.75" customHeight="1">
      <c r="A4553"/>
    </row>
    <row r="4554" spans="1:1" ht="18.75" customHeight="1">
      <c r="A4554"/>
    </row>
    <row r="4555" spans="1:1" ht="18.75" customHeight="1">
      <c r="A4555"/>
    </row>
    <row r="4556" spans="1:1" ht="18.75" customHeight="1">
      <c r="A4556"/>
    </row>
    <row r="4557" spans="1:1" ht="18.75" customHeight="1">
      <c r="A4557"/>
    </row>
    <row r="4558" spans="1:1" ht="18.75" customHeight="1">
      <c r="A4558"/>
    </row>
    <row r="4559" spans="1:1" ht="18.75" customHeight="1">
      <c r="A4559"/>
    </row>
    <row r="4560" spans="1:1" ht="18.75" customHeight="1">
      <c r="A4560"/>
    </row>
    <row r="4561" spans="1:1" ht="18.75" customHeight="1">
      <c r="A4561"/>
    </row>
    <row r="4562" spans="1:1" ht="18.75" customHeight="1">
      <c r="A4562"/>
    </row>
    <row r="4563" spans="1:1" ht="18.75" customHeight="1">
      <c r="A4563"/>
    </row>
    <row r="4564" spans="1:1" ht="18.75" customHeight="1">
      <c r="A4564"/>
    </row>
    <row r="4565" spans="1:1" ht="18.75" customHeight="1">
      <c r="A4565"/>
    </row>
    <row r="4566" spans="1:1" ht="18.75" customHeight="1">
      <c r="A4566"/>
    </row>
    <row r="4567" spans="1:1" ht="18.75" customHeight="1">
      <c r="A4567"/>
    </row>
    <row r="4568" spans="1:1" ht="18.75" customHeight="1">
      <c r="A4568"/>
    </row>
    <row r="4569" spans="1:1" ht="18.75" customHeight="1">
      <c r="A4569"/>
    </row>
    <row r="4570" spans="1:1" ht="18.75" customHeight="1">
      <c r="A4570"/>
    </row>
    <row r="4571" spans="1:1" ht="18.75" customHeight="1">
      <c r="A4571"/>
    </row>
    <row r="4572" spans="1:1" ht="18.75" customHeight="1">
      <c r="A4572"/>
    </row>
    <row r="4573" spans="1:1" ht="18.75" customHeight="1">
      <c r="A4573"/>
    </row>
    <row r="4574" spans="1:1" ht="18.75" customHeight="1">
      <c r="A4574"/>
    </row>
    <row r="4575" spans="1:1" ht="18.75" customHeight="1">
      <c r="A4575"/>
    </row>
    <row r="4576" spans="1:1" ht="18.75" customHeight="1">
      <c r="A4576"/>
    </row>
    <row r="4577" spans="1:1" ht="18.75" customHeight="1">
      <c r="A4577"/>
    </row>
    <row r="4578" spans="1:1" ht="18.75" customHeight="1">
      <c r="A4578"/>
    </row>
    <row r="4579" spans="1:1" ht="18.75" customHeight="1">
      <c r="A4579"/>
    </row>
    <row r="4580" spans="1:1" ht="18.75" customHeight="1">
      <c r="A4580"/>
    </row>
    <row r="4581" spans="1:1" ht="18.75" customHeight="1">
      <c r="A4581"/>
    </row>
    <row r="4582" spans="1:1" ht="18.75" customHeight="1">
      <c r="A4582"/>
    </row>
    <row r="4583" spans="1:1" ht="18.75" customHeight="1">
      <c r="A4583"/>
    </row>
    <row r="4584" spans="1:1" ht="18.75" customHeight="1">
      <c r="A4584"/>
    </row>
    <row r="4585" spans="1:1" ht="18.75" customHeight="1">
      <c r="A4585"/>
    </row>
    <row r="4586" spans="1:1" ht="18.75" customHeight="1">
      <c r="A4586"/>
    </row>
    <row r="4587" spans="1:1" ht="18.75" customHeight="1">
      <c r="A4587"/>
    </row>
    <row r="4588" spans="1:1" ht="18.75" customHeight="1">
      <c r="A4588"/>
    </row>
    <row r="4589" spans="1:1" ht="18.75" customHeight="1">
      <c r="A4589"/>
    </row>
    <row r="4590" spans="1:1" ht="18.75" customHeight="1">
      <c r="A4590"/>
    </row>
    <row r="4591" spans="1:1" ht="18.75" customHeight="1">
      <c r="A4591"/>
    </row>
    <row r="4592" spans="1:1" ht="18.75" customHeight="1">
      <c r="A4592"/>
    </row>
    <row r="4593" spans="1:1" ht="18.75" customHeight="1">
      <c r="A4593"/>
    </row>
    <row r="4594" spans="1:1" ht="18.75" customHeight="1">
      <c r="A4594"/>
    </row>
    <row r="4595" spans="1:1" ht="18.75" customHeight="1">
      <c r="A4595"/>
    </row>
    <row r="4596" spans="1:1" ht="18.75" customHeight="1">
      <c r="A4596"/>
    </row>
    <row r="4597" spans="1:1" ht="18.75" customHeight="1">
      <c r="A4597"/>
    </row>
    <row r="4598" spans="1:1" ht="18.75" customHeight="1">
      <c r="A4598"/>
    </row>
    <row r="4599" spans="1:1" ht="18.75" customHeight="1">
      <c r="A4599"/>
    </row>
    <row r="4600" spans="1:1" ht="18.75" customHeight="1">
      <c r="A4600"/>
    </row>
    <row r="4601" spans="1:1" ht="18.75" customHeight="1">
      <c r="A4601"/>
    </row>
    <row r="4602" spans="1:1" ht="18.75" customHeight="1">
      <c r="A4602"/>
    </row>
    <row r="4603" spans="1:1" ht="18.75" customHeight="1">
      <c r="A4603"/>
    </row>
    <row r="4604" spans="1:1" ht="18.75" customHeight="1">
      <c r="A4604"/>
    </row>
    <row r="4605" spans="1:1" ht="18.75" customHeight="1">
      <c r="A4605"/>
    </row>
    <row r="4606" spans="1:1" ht="18.75" customHeight="1">
      <c r="A4606"/>
    </row>
    <row r="4607" spans="1:1" ht="18.75" customHeight="1">
      <c r="A4607"/>
    </row>
    <row r="4608" spans="1:1" ht="18.75" customHeight="1">
      <c r="A4608"/>
    </row>
    <row r="4609" spans="1:1" ht="18.75" customHeight="1">
      <c r="A4609"/>
    </row>
    <row r="4610" spans="1:1" ht="18.75" customHeight="1">
      <c r="A4610"/>
    </row>
    <row r="4611" spans="1:1" ht="18.75" customHeight="1">
      <c r="A4611"/>
    </row>
    <row r="4612" spans="1:1" ht="18.75" customHeight="1">
      <c r="A4612"/>
    </row>
    <row r="4613" spans="1:1" ht="18.75" customHeight="1">
      <c r="A4613"/>
    </row>
    <row r="4614" spans="1:1" ht="18.75" customHeight="1">
      <c r="A4614"/>
    </row>
    <row r="4615" spans="1:1" ht="18.75" customHeight="1">
      <c r="A4615"/>
    </row>
    <row r="4616" spans="1:1" ht="18.75" customHeight="1">
      <c r="A4616"/>
    </row>
    <row r="4617" spans="1:1" ht="18.75" customHeight="1">
      <c r="A4617"/>
    </row>
    <row r="4618" spans="1:1" ht="18.75" customHeight="1">
      <c r="A4618"/>
    </row>
    <row r="4619" spans="1:1" ht="18.75" customHeight="1">
      <c r="A4619"/>
    </row>
    <row r="4620" spans="1:1" ht="18.75" customHeight="1">
      <c r="A4620"/>
    </row>
    <row r="4621" spans="1:1" ht="18.75" customHeight="1">
      <c r="A4621"/>
    </row>
    <row r="4622" spans="1:1" ht="18.75" customHeight="1">
      <c r="A4622"/>
    </row>
    <row r="4623" spans="1:1" ht="18.75" customHeight="1">
      <c r="A4623"/>
    </row>
    <row r="4624" spans="1:1" ht="18.75" customHeight="1">
      <c r="A4624"/>
    </row>
    <row r="4625" spans="1:1" ht="18.75" customHeight="1">
      <c r="A4625"/>
    </row>
    <row r="4626" spans="1:1" ht="18.75" customHeight="1">
      <c r="A4626"/>
    </row>
    <row r="4627" spans="1:1" ht="18.75" customHeight="1">
      <c r="A4627"/>
    </row>
    <row r="4628" spans="1:1" ht="18.75" customHeight="1">
      <c r="A4628"/>
    </row>
    <row r="4629" spans="1:1" ht="18.75" customHeight="1">
      <c r="A4629"/>
    </row>
    <row r="4630" spans="1:1" ht="18.75" customHeight="1">
      <c r="A4630"/>
    </row>
    <row r="4631" spans="1:1" ht="18.75" customHeight="1">
      <c r="A4631"/>
    </row>
    <row r="4632" spans="1:1" ht="18.75" customHeight="1">
      <c r="A4632"/>
    </row>
    <row r="4633" spans="1:1" ht="18.75" customHeight="1">
      <c r="A4633"/>
    </row>
    <row r="4634" spans="1:1" ht="18.75" customHeight="1">
      <c r="A4634"/>
    </row>
    <row r="4635" spans="1:1" ht="18.75" customHeight="1">
      <c r="A4635"/>
    </row>
    <row r="4636" spans="1:1" ht="18.75" customHeight="1">
      <c r="A4636"/>
    </row>
    <row r="4637" spans="1:1" ht="18.75" customHeight="1">
      <c r="A4637"/>
    </row>
    <row r="4638" spans="1:1" ht="18.75" customHeight="1">
      <c r="A4638"/>
    </row>
    <row r="4639" spans="1:1" ht="18.75" customHeight="1">
      <c r="A4639"/>
    </row>
    <row r="4640" spans="1:1" ht="18.75" customHeight="1">
      <c r="A4640"/>
    </row>
    <row r="4641" spans="1:1" ht="18.75" customHeight="1">
      <c r="A4641"/>
    </row>
    <row r="4642" spans="1:1" ht="18.75" customHeight="1">
      <c r="A4642"/>
    </row>
    <row r="4643" spans="1:1" ht="18.75" customHeight="1">
      <c r="A4643"/>
    </row>
    <row r="4644" spans="1:1" ht="18.75" customHeight="1">
      <c r="A4644"/>
    </row>
    <row r="4645" spans="1:1" ht="18.75" customHeight="1">
      <c r="A4645"/>
    </row>
    <row r="4646" spans="1:1" ht="18.75" customHeight="1">
      <c r="A4646"/>
    </row>
    <row r="4647" spans="1:1" ht="18.75" customHeight="1">
      <c r="A4647"/>
    </row>
    <row r="4648" spans="1:1" ht="18.75" customHeight="1">
      <c r="A4648"/>
    </row>
    <row r="4649" spans="1:1" ht="18.75" customHeight="1">
      <c r="A4649"/>
    </row>
    <row r="4650" spans="1:1" ht="18.75" customHeight="1">
      <c r="A4650"/>
    </row>
    <row r="4651" spans="1:1" ht="18.75" customHeight="1">
      <c r="A4651"/>
    </row>
    <row r="4652" spans="1:1" ht="18.75" customHeight="1">
      <c r="A4652"/>
    </row>
    <row r="4653" spans="1:1" ht="18.75" customHeight="1">
      <c r="A4653"/>
    </row>
    <row r="4654" spans="1:1" ht="18.75" customHeight="1">
      <c r="A4654"/>
    </row>
    <row r="4655" spans="1:1" ht="18.75" customHeight="1">
      <c r="A4655"/>
    </row>
    <row r="4656" spans="1:1" ht="18.75" customHeight="1">
      <c r="A4656"/>
    </row>
    <row r="4657" spans="1:1" ht="18.75" customHeight="1">
      <c r="A4657"/>
    </row>
    <row r="4658" spans="1:1" ht="18.75" customHeight="1">
      <c r="A4658"/>
    </row>
    <row r="4659" spans="1:1" ht="18.75" customHeight="1">
      <c r="A4659"/>
    </row>
    <row r="4660" spans="1:1" ht="18.75" customHeight="1">
      <c r="A4660"/>
    </row>
    <row r="4661" spans="1:1" ht="18.75" customHeight="1">
      <c r="A4661"/>
    </row>
    <row r="4662" spans="1:1" ht="18.75" customHeight="1">
      <c r="A4662"/>
    </row>
    <row r="4663" spans="1:1" ht="18.75" customHeight="1">
      <c r="A4663"/>
    </row>
    <row r="4664" spans="1:1" ht="18.75" customHeight="1">
      <c r="A4664"/>
    </row>
    <row r="4665" spans="1:1" ht="18.75" customHeight="1">
      <c r="A4665"/>
    </row>
    <row r="4666" spans="1:1" ht="18.75" customHeight="1">
      <c r="A4666"/>
    </row>
    <row r="4667" spans="1:1" ht="18.75" customHeight="1">
      <c r="A4667"/>
    </row>
    <row r="4668" spans="1:1" ht="18.75" customHeight="1">
      <c r="A4668"/>
    </row>
    <row r="4669" spans="1:1" ht="18.75" customHeight="1">
      <c r="A4669"/>
    </row>
    <row r="4670" spans="1:1" ht="18.75" customHeight="1">
      <c r="A4670"/>
    </row>
    <row r="4671" spans="1:1" ht="18.75" customHeight="1">
      <c r="A4671"/>
    </row>
    <row r="4672" spans="1:1" ht="18.75" customHeight="1">
      <c r="A4672"/>
    </row>
    <row r="4673" spans="1:1" ht="18.75" customHeight="1">
      <c r="A4673"/>
    </row>
    <row r="4674" spans="1:1" ht="18.75" customHeight="1">
      <c r="A4674"/>
    </row>
    <row r="4675" spans="1:1" ht="18.75" customHeight="1">
      <c r="A4675"/>
    </row>
    <row r="4676" spans="1:1" ht="18.75" customHeight="1">
      <c r="A4676"/>
    </row>
    <row r="4677" spans="1:1" ht="18.75" customHeight="1">
      <c r="A4677"/>
    </row>
    <row r="4678" spans="1:1" ht="18.75" customHeight="1">
      <c r="A4678"/>
    </row>
    <row r="4679" spans="1:1" ht="18.75" customHeight="1">
      <c r="A4679"/>
    </row>
    <row r="4680" spans="1:1" ht="18.75" customHeight="1">
      <c r="A4680"/>
    </row>
    <row r="4681" spans="1:1" ht="18.75" customHeight="1">
      <c r="A4681"/>
    </row>
    <row r="4682" spans="1:1" ht="18.75" customHeight="1">
      <c r="A4682"/>
    </row>
    <row r="4683" spans="1:1" ht="18.75" customHeight="1">
      <c r="A4683"/>
    </row>
    <row r="4684" spans="1:1" ht="18.75" customHeight="1">
      <c r="A4684"/>
    </row>
    <row r="4685" spans="1:1" ht="18.75" customHeight="1">
      <c r="A4685"/>
    </row>
    <row r="4686" spans="1:1" ht="18.75" customHeight="1">
      <c r="A4686"/>
    </row>
    <row r="4687" spans="1:1" ht="18.75" customHeight="1">
      <c r="A4687"/>
    </row>
    <row r="4688" spans="1:1" ht="18.75" customHeight="1">
      <c r="A4688"/>
    </row>
    <row r="4689" spans="1:1" ht="18.75" customHeight="1">
      <c r="A4689"/>
    </row>
    <row r="4690" spans="1:1" ht="18.75" customHeight="1">
      <c r="A4690"/>
    </row>
    <row r="4691" spans="1:1" ht="18.75" customHeight="1">
      <c r="A4691"/>
    </row>
    <row r="4692" spans="1:1" ht="18.75" customHeight="1">
      <c r="A4692"/>
    </row>
    <row r="4693" spans="1:1" ht="18.75" customHeight="1">
      <c r="A4693"/>
    </row>
    <row r="4694" spans="1:1" ht="18.75" customHeight="1">
      <c r="A4694"/>
    </row>
    <row r="4695" spans="1:1" ht="18.75" customHeight="1">
      <c r="A4695"/>
    </row>
    <row r="4696" spans="1:1" ht="18.75" customHeight="1">
      <c r="A4696"/>
    </row>
    <row r="4697" spans="1:1" ht="18.75" customHeight="1">
      <c r="A4697"/>
    </row>
    <row r="4698" spans="1:1" ht="18.75" customHeight="1">
      <c r="A4698"/>
    </row>
    <row r="4699" spans="1:1" ht="18.75" customHeight="1">
      <c r="A4699"/>
    </row>
    <row r="4700" spans="1:1" ht="18.75" customHeight="1">
      <c r="A4700"/>
    </row>
    <row r="4701" spans="1:1" ht="18.75" customHeight="1">
      <c r="A4701"/>
    </row>
    <row r="4702" spans="1:1" ht="18.75" customHeight="1">
      <c r="A4702"/>
    </row>
    <row r="4703" spans="1:1" ht="18.75" customHeight="1">
      <c r="A4703"/>
    </row>
    <row r="4704" spans="1:1" ht="18.75" customHeight="1">
      <c r="A4704"/>
    </row>
    <row r="4705" spans="1:1" ht="18.75" customHeight="1">
      <c r="A4705"/>
    </row>
    <row r="4706" spans="1:1" ht="18.75" customHeight="1">
      <c r="A4706"/>
    </row>
    <row r="4707" spans="1:1" ht="18.75" customHeight="1">
      <c r="A4707"/>
    </row>
    <row r="4708" spans="1:1" ht="18.75" customHeight="1">
      <c r="A4708"/>
    </row>
    <row r="4709" spans="1:1" ht="18.75" customHeight="1">
      <c r="A4709"/>
    </row>
    <row r="4710" spans="1:1" ht="18.75" customHeight="1">
      <c r="A4710"/>
    </row>
    <row r="4711" spans="1:1" ht="18.75" customHeight="1">
      <c r="A4711"/>
    </row>
    <row r="4712" spans="1:1" ht="18.75" customHeight="1">
      <c r="A4712"/>
    </row>
    <row r="4713" spans="1:1" ht="18.75" customHeight="1">
      <c r="A4713"/>
    </row>
    <row r="4714" spans="1:1" ht="18.75" customHeight="1">
      <c r="A4714"/>
    </row>
    <row r="4715" spans="1:1" ht="18.75" customHeight="1">
      <c r="A4715"/>
    </row>
    <row r="4716" spans="1:1" ht="18.75" customHeight="1">
      <c r="A4716"/>
    </row>
    <row r="4717" spans="1:1" ht="18.75" customHeight="1">
      <c r="A4717"/>
    </row>
    <row r="4718" spans="1:1" ht="18.75" customHeight="1">
      <c r="A4718"/>
    </row>
    <row r="4719" spans="1:1" ht="18.75" customHeight="1">
      <c r="A4719"/>
    </row>
    <row r="4720" spans="1:1" ht="18.75" customHeight="1">
      <c r="A4720"/>
    </row>
    <row r="4721" spans="1:1" ht="18.75" customHeight="1">
      <c r="A4721"/>
    </row>
    <row r="4722" spans="1:1" ht="18.75" customHeight="1">
      <c r="A4722"/>
    </row>
    <row r="4723" spans="1:1" ht="18.75" customHeight="1">
      <c r="A4723"/>
    </row>
    <row r="4724" spans="1:1" ht="18.75" customHeight="1">
      <c r="A4724"/>
    </row>
    <row r="4725" spans="1:1" ht="18.75" customHeight="1">
      <c r="A4725"/>
    </row>
    <row r="4726" spans="1:1" ht="18.75" customHeight="1">
      <c r="A4726"/>
    </row>
    <row r="4727" spans="1:1" ht="18.75" customHeight="1">
      <c r="A4727"/>
    </row>
    <row r="4728" spans="1:1" ht="18.75" customHeight="1">
      <c r="A4728"/>
    </row>
    <row r="4729" spans="1:1" ht="18.75" customHeight="1">
      <c r="A4729"/>
    </row>
    <row r="4730" spans="1:1" ht="18.75" customHeight="1">
      <c r="A4730"/>
    </row>
    <row r="4731" spans="1:1" ht="18.75" customHeight="1">
      <c r="A4731"/>
    </row>
    <row r="4732" spans="1:1" ht="18.75" customHeight="1">
      <c r="A4732"/>
    </row>
    <row r="4733" spans="1:1" ht="18.75" customHeight="1">
      <c r="A4733"/>
    </row>
    <row r="4734" spans="1:1" ht="18.75" customHeight="1">
      <c r="A4734"/>
    </row>
    <row r="4735" spans="1:1" ht="18.75" customHeight="1">
      <c r="A4735"/>
    </row>
    <row r="4736" spans="1:1" ht="18.75" customHeight="1">
      <c r="A4736"/>
    </row>
    <row r="4737" spans="1:1" ht="18.75" customHeight="1">
      <c r="A4737"/>
    </row>
    <row r="4738" spans="1:1" ht="18.75" customHeight="1">
      <c r="A4738"/>
    </row>
    <row r="4739" spans="1:1" ht="18.75" customHeight="1">
      <c r="A4739"/>
    </row>
    <row r="4740" spans="1:1" ht="18.75" customHeight="1">
      <c r="A4740"/>
    </row>
    <row r="4741" spans="1:1" ht="18.75" customHeight="1">
      <c r="A4741"/>
    </row>
    <row r="4742" spans="1:1" ht="18.75" customHeight="1">
      <c r="A4742"/>
    </row>
    <row r="4743" spans="1:1" ht="18.75" customHeight="1">
      <c r="A4743"/>
    </row>
    <row r="4744" spans="1:1" ht="18.75" customHeight="1">
      <c r="A4744"/>
    </row>
    <row r="4745" spans="1:1" ht="18.75" customHeight="1">
      <c r="A4745"/>
    </row>
    <row r="4746" spans="1:1" ht="18.75" customHeight="1">
      <c r="A4746"/>
    </row>
    <row r="4747" spans="1:1" ht="18.75" customHeight="1">
      <c r="A4747"/>
    </row>
    <row r="4748" spans="1:1" ht="18.75" customHeight="1">
      <c r="A4748"/>
    </row>
    <row r="4749" spans="1:1" ht="18.75" customHeight="1">
      <c r="A4749"/>
    </row>
    <row r="4750" spans="1:1" ht="18.75" customHeight="1">
      <c r="A4750"/>
    </row>
    <row r="4751" spans="1:1" ht="18.75" customHeight="1">
      <c r="A4751"/>
    </row>
    <row r="4752" spans="1:1" ht="18.75" customHeight="1">
      <c r="A4752"/>
    </row>
    <row r="4753" spans="1:1" ht="18.75" customHeight="1">
      <c r="A4753"/>
    </row>
    <row r="4754" spans="1:1" ht="18.75" customHeight="1">
      <c r="A4754"/>
    </row>
    <row r="4755" spans="1:1" ht="18.75" customHeight="1">
      <c r="A4755"/>
    </row>
    <row r="4756" spans="1:1" ht="18.75" customHeight="1">
      <c r="A4756"/>
    </row>
    <row r="4757" spans="1:1" ht="18.75" customHeight="1">
      <c r="A4757"/>
    </row>
    <row r="4758" spans="1:1" ht="18.75" customHeight="1">
      <c r="A4758"/>
    </row>
    <row r="4759" spans="1:1" ht="18.75" customHeight="1">
      <c r="A4759"/>
    </row>
    <row r="4760" spans="1:1" ht="18.75" customHeight="1">
      <c r="A4760"/>
    </row>
    <row r="4761" spans="1:1" ht="18.75" customHeight="1">
      <c r="A4761"/>
    </row>
    <row r="4762" spans="1:1" ht="18.75" customHeight="1">
      <c r="A4762"/>
    </row>
    <row r="4763" spans="1:1" ht="18.75" customHeight="1">
      <c r="A4763"/>
    </row>
    <row r="4764" spans="1:1" ht="18.75" customHeight="1">
      <c r="A4764"/>
    </row>
    <row r="4765" spans="1:1" ht="18.75" customHeight="1">
      <c r="A4765"/>
    </row>
    <row r="4766" spans="1:1" ht="18.75" customHeight="1">
      <c r="A4766"/>
    </row>
    <row r="4767" spans="1:1" ht="18.75" customHeight="1">
      <c r="A4767"/>
    </row>
    <row r="4768" spans="1:1" ht="18.75" customHeight="1">
      <c r="A4768"/>
    </row>
    <row r="4769" spans="1:1" ht="18.75" customHeight="1">
      <c r="A4769"/>
    </row>
    <row r="4770" spans="1:1" ht="18.75" customHeight="1">
      <c r="A4770"/>
    </row>
    <row r="4771" spans="1:1" ht="18.75" customHeight="1">
      <c r="A4771"/>
    </row>
    <row r="4772" spans="1:1" ht="18.75" customHeight="1">
      <c r="A4772"/>
    </row>
    <row r="4773" spans="1:1" ht="18.75" customHeight="1">
      <c r="A4773"/>
    </row>
    <row r="4774" spans="1:1" ht="18.75" customHeight="1">
      <c r="A4774"/>
    </row>
    <row r="4775" spans="1:1" ht="18.75" customHeight="1">
      <c r="A4775"/>
    </row>
    <row r="4776" spans="1:1" ht="18.75" customHeight="1">
      <c r="A4776"/>
    </row>
    <row r="4777" spans="1:1" ht="18.75" customHeight="1">
      <c r="A4777"/>
    </row>
    <row r="4778" spans="1:1" ht="18.75" customHeight="1">
      <c r="A4778"/>
    </row>
    <row r="4779" spans="1:1" ht="18.75" customHeight="1">
      <c r="A4779"/>
    </row>
    <row r="4780" spans="1:1" ht="18.75" customHeight="1">
      <c r="A4780"/>
    </row>
    <row r="4781" spans="1:1" ht="18.75" customHeight="1">
      <c r="A4781"/>
    </row>
    <row r="4782" spans="1:1" ht="18.75" customHeight="1">
      <c r="A4782"/>
    </row>
    <row r="4783" spans="1:1" ht="18.75" customHeight="1">
      <c r="A4783"/>
    </row>
    <row r="4784" spans="1:1" ht="18.75" customHeight="1">
      <c r="A4784"/>
    </row>
    <row r="4785" spans="1:1" ht="18.75" customHeight="1">
      <c r="A4785"/>
    </row>
    <row r="4786" spans="1:1" ht="18.75" customHeight="1">
      <c r="A4786"/>
    </row>
    <row r="4787" spans="1:1" ht="18.75" customHeight="1">
      <c r="A4787"/>
    </row>
    <row r="4788" spans="1:1" ht="18.75" customHeight="1">
      <c r="A4788"/>
    </row>
    <row r="4789" spans="1:1" ht="18.75" customHeight="1">
      <c r="A4789"/>
    </row>
    <row r="4790" spans="1:1" ht="18.75" customHeight="1">
      <c r="A4790"/>
    </row>
    <row r="4791" spans="1:1" ht="18.75" customHeight="1">
      <c r="A4791"/>
    </row>
    <row r="4792" spans="1:1" ht="18.75" customHeight="1">
      <c r="A4792"/>
    </row>
    <row r="4793" spans="1:1" ht="18.75" customHeight="1">
      <c r="A4793"/>
    </row>
    <row r="4794" spans="1:1" ht="18.75" customHeight="1">
      <c r="A4794"/>
    </row>
    <row r="4795" spans="1:1" ht="18.75" customHeight="1">
      <c r="A4795"/>
    </row>
    <row r="4796" spans="1:1" ht="18.75" customHeight="1">
      <c r="A4796"/>
    </row>
    <row r="4797" spans="1:1" ht="18.75" customHeight="1">
      <c r="A4797"/>
    </row>
    <row r="4798" spans="1:1" ht="18.75" customHeight="1">
      <c r="A4798"/>
    </row>
    <row r="4799" spans="1:1" ht="18.75" customHeight="1">
      <c r="A4799"/>
    </row>
    <row r="4800" spans="1:1" ht="18.75" customHeight="1">
      <c r="A4800"/>
    </row>
    <row r="4801" spans="1:1" ht="18.75" customHeight="1">
      <c r="A4801"/>
    </row>
    <row r="4802" spans="1:1" ht="18.75" customHeight="1">
      <c r="A4802"/>
    </row>
    <row r="4803" spans="1:1" ht="18.75" customHeight="1">
      <c r="A4803"/>
    </row>
    <row r="4804" spans="1:1" ht="18.75" customHeight="1">
      <c r="A4804"/>
    </row>
    <row r="4805" spans="1:1" ht="18.75" customHeight="1">
      <c r="A4805"/>
    </row>
    <row r="4806" spans="1:1" ht="18.75" customHeight="1">
      <c r="A4806"/>
    </row>
    <row r="4807" spans="1:1" ht="18.75" customHeight="1">
      <c r="A4807"/>
    </row>
    <row r="4808" spans="1:1" ht="18.75" customHeight="1">
      <c r="A4808"/>
    </row>
    <row r="4809" spans="1:1" ht="18.75" customHeight="1">
      <c r="A4809"/>
    </row>
    <row r="4810" spans="1:1" ht="18.75" customHeight="1">
      <c r="A4810"/>
    </row>
    <row r="4811" spans="1:1" ht="18.75" customHeight="1">
      <c r="A4811"/>
    </row>
    <row r="4812" spans="1:1" ht="18.75" customHeight="1">
      <c r="A4812"/>
    </row>
    <row r="4813" spans="1:1" ht="18.75" customHeight="1">
      <c r="A4813"/>
    </row>
    <row r="4814" spans="1:1" ht="18.75" customHeight="1">
      <c r="A4814"/>
    </row>
    <row r="4815" spans="1:1" ht="18.75" customHeight="1">
      <c r="A4815"/>
    </row>
    <row r="4816" spans="1:1" ht="18.75" customHeight="1">
      <c r="A4816"/>
    </row>
    <row r="4817" spans="1:1" ht="18.75" customHeight="1">
      <c r="A4817"/>
    </row>
    <row r="4818" spans="1:1" ht="18.75" customHeight="1">
      <c r="A4818"/>
    </row>
    <row r="4819" spans="1:1" ht="18.75" customHeight="1">
      <c r="A4819"/>
    </row>
    <row r="4820" spans="1:1" ht="18.75" customHeight="1">
      <c r="A4820"/>
    </row>
    <row r="4821" spans="1:1" ht="18.75" customHeight="1">
      <c r="A4821"/>
    </row>
    <row r="4822" spans="1:1" ht="18.75" customHeight="1">
      <c r="A4822"/>
    </row>
    <row r="4823" spans="1:1" ht="18.75" customHeight="1">
      <c r="A4823"/>
    </row>
    <row r="4824" spans="1:1" ht="18.75" customHeight="1">
      <c r="A4824"/>
    </row>
    <row r="4825" spans="1:1" ht="18.75" customHeight="1">
      <c r="A4825"/>
    </row>
    <row r="4826" spans="1:1" ht="18.75" customHeight="1">
      <c r="A4826"/>
    </row>
    <row r="4827" spans="1:1" ht="18.75" customHeight="1">
      <c r="A4827"/>
    </row>
    <row r="4828" spans="1:1" ht="18.75" customHeight="1">
      <c r="A4828"/>
    </row>
    <row r="4829" spans="1:1" ht="18.75" customHeight="1">
      <c r="A4829"/>
    </row>
    <row r="4830" spans="1:1" ht="18.75" customHeight="1">
      <c r="A4830"/>
    </row>
    <row r="4831" spans="1:1" ht="18.75" customHeight="1">
      <c r="A4831"/>
    </row>
    <row r="4832" spans="1:1" ht="18.75" customHeight="1">
      <c r="A4832"/>
    </row>
    <row r="4833" spans="1:1" ht="18.75" customHeight="1">
      <c r="A4833"/>
    </row>
    <row r="4834" spans="1:1" ht="18.75" customHeight="1">
      <c r="A4834"/>
    </row>
    <row r="4835" spans="1:1" ht="18.75" customHeight="1">
      <c r="A4835"/>
    </row>
    <row r="4836" spans="1:1" ht="18.75" customHeight="1">
      <c r="A4836"/>
    </row>
    <row r="4837" spans="1:1" ht="18.75" customHeight="1">
      <c r="A4837"/>
    </row>
    <row r="4838" spans="1:1" ht="18.75" customHeight="1">
      <c r="A4838"/>
    </row>
    <row r="4839" spans="1:1" ht="18.75" customHeight="1">
      <c r="A4839"/>
    </row>
    <row r="4840" spans="1:1" ht="18.75" customHeight="1">
      <c r="A4840"/>
    </row>
    <row r="4841" spans="1:1" ht="18.75" customHeight="1">
      <c r="A4841"/>
    </row>
    <row r="4842" spans="1:1" ht="18.75" customHeight="1">
      <c r="A4842"/>
    </row>
    <row r="4843" spans="1:1" ht="18.75" customHeight="1">
      <c r="A4843"/>
    </row>
    <row r="4844" spans="1:1" ht="18.75" customHeight="1">
      <c r="A4844"/>
    </row>
    <row r="4845" spans="1:1" ht="18.75" customHeight="1">
      <c r="A4845"/>
    </row>
    <row r="4846" spans="1:1" ht="18.75" customHeight="1">
      <c r="A4846"/>
    </row>
    <row r="4847" spans="1:1" ht="18.75" customHeight="1">
      <c r="A4847"/>
    </row>
    <row r="4848" spans="1:1" ht="18.75" customHeight="1">
      <c r="A4848"/>
    </row>
    <row r="4849" spans="1:1" ht="18.75" customHeight="1">
      <c r="A4849"/>
    </row>
    <row r="4850" spans="1:1" ht="18.75" customHeight="1">
      <c r="A4850"/>
    </row>
    <row r="4851" spans="1:1" ht="18.75" customHeight="1">
      <c r="A4851"/>
    </row>
    <row r="4852" spans="1:1" ht="18.75" customHeight="1">
      <c r="A4852"/>
    </row>
    <row r="4853" spans="1:1" ht="18.75" customHeight="1">
      <c r="A4853"/>
    </row>
    <row r="4854" spans="1:1" ht="18.75" customHeight="1">
      <c r="A4854"/>
    </row>
    <row r="4855" spans="1:1" ht="18.75" customHeight="1">
      <c r="A4855"/>
    </row>
    <row r="4856" spans="1:1" ht="18.75" customHeight="1">
      <c r="A4856"/>
    </row>
    <row r="4857" spans="1:1" ht="18.75" customHeight="1">
      <c r="A4857"/>
    </row>
    <row r="4858" spans="1:1" ht="18.75" customHeight="1">
      <c r="A4858"/>
    </row>
    <row r="4859" spans="1:1" ht="18.75" customHeight="1">
      <c r="A4859"/>
    </row>
    <row r="4860" spans="1:1" ht="18.75" customHeight="1">
      <c r="A4860"/>
    </row>
    <row r="4861" spans="1:1" ht="18.75" customHeight="1">
      <c r="A4861"/>
    </row>
    <row r="4862" spans="1:1" ht="18.75" customHeight="1">
      <c r="A4862"/>
    </row>
    <row r="4863" spans="1:1" ht="18.75" customHeight="1">
      <c r="A4863"/>
    </row>
    <row r="4864" spans="1:1" ht="18.75" customHeight="1">
      <c r="A4864"/>
    </row>
    <row r="4865" spans="1:1" ht="18.75" customHeight="1">
      <c r="A4865"/>
    </row>
    <row r="4866" spans="1:1" ht="18.75" customHeight="1">
      <c r="A4866"/>
    </row>
    <row r="4867" spans="1:1" ht="18.75" customHeight="1">
      <c r="A4867"/>
    </row>
    <row r="4868" spans="1:1" ht="18.75" customHeight="1">
      <c r="A4868"/>
    </row>
    <row r="4869" spans="1:1" ht="18.75" customHeight="1">
      <c r="A4869"/>
    </row>
    <row r="4870" spans="1:1" ht="18.75" customHeight="1">
      <c r="A4870"/>
    </row>
    <row r="4871" spans="1:1" ht="18.75" customHeight="1">
      <c r="A4871"/>
    </row>
    <row r="4872" spans="1:1" ht="18.75" customHeight="1">
      <c r="A4872"/>
    </row>
    <row r="4873" spans="1:1" ht="18.75" customHeight="1">
      <c r="A4873"/>
    </row>
    <row r="4874" spans="1:1" ht="18.75" customHeight="1">
      <c r="A4874"/>
    </row>
    <row r="4875" spans="1:1" ht="18.75" customHeight="1">
      <c r="A4875"/>
    </row>
    <row r="4876" spans="1:1" ht="18.75" customHeight="1">
      <c r="A4876"/>
    </row>
    <row r="4877" spans="1:1" ht="18.75" customHeight="1">
      <c r="A4877"/>
    </row>
    <row r="4878" spans="1:1" ht="18.75" customHeight="1">
      <c r="A4878"/>
    </row>
    <row r="4879" spans="1:1" ht="18.75" customHeight="1">
      <c r="A4879"/>
    </row>
    <row r="4880" spans="1:1" ht="18.75" customHeight="1">
      <c r="A4880"/>
    </row>
    <row r="4881" spans="1:1" ht="18.75" customHeight="1">
      <c r="A4881"/>
    </row>
    <row r="4882" spans="1:1" ht="18.75" customHeight="1">
      <c r="A4882"/>
    </row>
    <row r="4883" spans="1:1" ht="18.75" customHeight="1">
      <c r="A4883"/>
    </row>
    <row r="4884" spans="1:1" ht="18.75" customHeight="1">
      <c r="A4884"/>
    </row>
    <row r="4885" spans="1:1" ht="18.75" customHeight="1">
      <c r="A4885"/>
    </row>
    <row r="4886" spans="1:1" ht="18.75" customHeight="1">
      <c r="A4886"/>
    </row>
    <row r="4887" spans="1:1" ht="18.75" customHeight="1">
      <c r="A4887"/>
    </row>
    <row r="4888" spans="1:1" ht="18.75" customHeight="1">
      <c r="A4888"/>
    </row>
    <row r="4889" spans="1:1" ht="18.75" customHeight="1">
      <c r="A4889"/>
    </row>
    <row r="4890" spans="1:1" ht="18.75" customHeight="1">
      <c r="A4890"/>
    </row>
    <row r="4891" spans="1:1" ht="18.75" customHeight="1">
      <c r="A4891"/>
    </row>
    <row r="4892" spans="1:1" ht="18.75" customHeight="1">
      <c r="A4892"/>
    </row>
    <row r="4893" spans="1:1" ht="18.75" customHeight="1">
      <c r="A4893"/>
    </row>
    <row r="4894" spans="1:1" ht="18.75" customHeight="1">
      <c r="A4894"/>
    </row>
    <row r="4895" spans="1:1" ht="18.75" customHeight="1">
      <c r="A4895"/>
    </row>
    <row r="4896" spans="1:1" ht="18.75" customHeight="1">
      <c r="A4896"/>
    </row>
    <row r="4897" spans="1:1" ht="18.75" customHeight="1">
      <c r="A4897"/>
    </row>
    <row r="4898" spans="1:1" ht="18.75" customHeight="1">
      <c r="A4898"/>
    </row>
    <row r="4899" spans="1:1" ht="18.75" customHeight="1">
      <c r="A4899"/>
    </row>
    <row r="4900" spans="1:1" ht="18.75" customHeight="1">
      <c r="A4900"/>
    </row>
    <row r="4901" spans="1:1" ht="18.75" customHeight="1">
      <c r="A4901"/>
    </row>
    <row r="4902" spans="1:1" ht="18.75" customHeight="1">
      <c r="A4902"/>
    </row>
    <row r="4903" spans="1:1" ht="18.75" customHeight="1">
      <c r="A4903"/>
    </row>
    <row r="4904" spans="1:1" ht="18.75" customHeight="1">
      <c r="A4904"/>
    </row>
    <row r="4905" spans="1:1" ht="18.75" customHeight="1">
      <c r="A4905"/>
    </row>
    <row r="4906" spans="1:1" ht="18.75" customHeight="1">
      <c r="A4906"/>
    </row>
    <row r="4907" spans="1:1" ht="18.75" customHeight="1">
      <c r="A4907"/>
    </row>
    <row r="4908" spans="1:1" ht="18.75" customHeight="1">
      <c r="A4908"/>
    </row>
    <row r="4909" spans="1:1" ht="18.75" customHeight="1">
      <c r="A4909"/>
    </row>
    <row r="4910" spans="1:1" ht="18.75" customHeight="1">
      <c r="A4910"/>
    </row>
    <row r="4911" spans="1:1" ht="18.75" customHeight="1">
      <c r="A4911"/>
    </row>
    <row r="4912" spans="1:1" ht="18.75" customHeight="1">
      <c r="A4912"/>
    </row>
    <row r="4913" spans="1:1" ht="18.75" customHeight="1">
      <c r="A4913"/>
    </row>
    <row r="4914" spans="1:1" ht="18.75" customHeight="1">
      <c r="A4914"/>
    </row>
    <row r="4915" spans="1:1" ht="18.75" customHeight="1">
      <c r="A4915"/>
    </row>
    <row r="4916" spans="1:1" ht="18.75" customHeight="1">
      <c r="A4916"/>
    </row>
    <row r="4917" spans="1:1" ht="18.75" customHeight="1">
      <c r="A4917"/>
    </row>
    <row r="4918" spans="1:1" ht="18.75" customHeight="1">
      <c r="A4918"/>
    </row>
    <row r="4919" spans="1:1" ht="18.75" customHeight="1">
      <c r="A4919"/>
    </row>
    <row r="4920" spans="1:1" ht="18.75" customHeight="1">
      <c r="A4920"/>
    </row>
    <row r="4921" spans="1:1" ht="18.75" customHeight="1">
      <c r="A4921"/>
    </row>
    <row r="4922" spans="1:1" ht="18.75" customHeight="1">
      <c r="A4922"/>
    </row>
    <row r="4923" spans="1:1" ht="18.75" customHeight="1">
      <c r="A4923"/>
    </row>
    <row r="4924" spans="1:1" ht="18.75" customHeight="1">
      <c r="A4924"/>
    </row>
    <row r="4925" spans="1:1" ht="18.75" customHeight="1">
      <c r="A4925"/>
    </row>
    <row r="4926" spans="1:1" ht="18.75" customHeight="1">
      <c r="A4926"/>
    </row>
    <row r="4927" spans="1:1" ht="18.75" customHeight="1">
      <c r="A4927"/>
    </row>
    <row r="4928" spans="1:1" ht="18.75" customHeight="1">
      <c r="A4928"/>
    </row>
    <row r="4929" spans="1:1" ht="18.75" customHeight="1">
      <c r="A4929"/>
    </row>
    <row r="4930" spans="1:1" ht="18.75" customHeight="1">
      <c r="A4930"/>
    </row>
    <row r="4931" spans="1:1" ht="18.75" customHeight="1">
      <c r="A4931"/>
    </row>
    <row r="4932" spans="1:1" ht="18.75" customHeight="1">
      <c r="A4932"/>
    </row>
    <row r="4933" spans="1:1" ht="18.75" customHeight="1">
      <c r="A4933"/>
    </row>
    <row r="4934" spans="1:1" ht="18.75" customHeight="1">
      <c r="A4934"/>
    </row>
    <row r="4935" spans="1:1" ht="18.75" customHeight="1">
      <c r="A4935"/>
    </row>
    <row r="4936" spans="1:1" ht="18.75" customHeight="1">
      <c r="A4936"/>
    </row>
    <row r="4937" spans="1:1" ht="18.75" customHeight="1">
      <c r="A4937"/>
    </row>
    <row r="4938" spans="1:1" ht="18.75" customHeight="1">
      <c r="A4938"/>
    </row>
    <row r="4939" spans="1:1" ht="18.75" customHeight="1">
      <c r="A4939"/>
    </row>
    <row r="4940" spans="1:1" ht="18.75" customHeight="1">
      <c r="A4940"/>
    </row>
    <row r="4941" spans="1:1" ht="18.75" customHeight="1">
      <c r="A4941"/>
    </row>
    <row r="4942" spans="1:1" ht="18.75" customHeight="1">
      <c r="A4942"/>
    </row>
    <row r="4943" spans="1:1" ht="18.75" customHeight="1">
      <c r="A4943"/>
    </row>
    <row r="4944" spans="1:1" ht="18.75" customHeight="1">
      <c r="A4944"/>
    </row>
    <row r="4945" spans="1:1" ht="18.75" customHeight="1">
      <c r="A4945"/>
    </row>
    <row r="4946" spans="1:1" ht="18.75" customHeight="1">
      <c r="A4946"/>
    </row>
    <row r="4947" spans="1:1" ht="18.75" customHeight="1">
      <c r="A4947"/>
    </row>
    <row r="4948" spans="1:1" ht="18.75" customHeight="1">
      <c r="A4948"/>
    </row>
    <row r="4949" spans="1:1" ht="18.75" customHeight="1">
      <c r="A4949"/>
    </row>
    <row r="4950" spans="1:1" ht="18.75" customHeight="1">
      <c r="A4950"/>
    </row>
    <row r="4951" spans="1:1" ht="18.75" customHeight="1">
      <c r="A4951"/>
    </row>
    <row r="4952" spans="1:1" ht="18.75" customHeight="1">
      <c r="A4952"/>
    </row>
    <row r="4953" spans="1:1" ht="18.75" customHeight="1">
      <c r="A4953"/>
    </row>
    <row r="4954" spans="1:1" ht="18.75" customHeight="1">
      <c r="A4954"/>
    </row>
    <row r="4955" spans="1:1" ht="18.75" customHeight="1">
      <c r="A4955"/>
    </row>
    <row r="4956" spans="1:1" ht="18.75" customHeight="1">
      <c r="A4956"/>
    </row>
    <row r="4957" spans="1:1" ht="18.75" customHeight="1">
      <c r="A4957"/>
    </row>
    <row r="4958" spans="1:1" ht="18.75" customHeight="1">
      <c r="A4958"/>
    </row>
    <row r="4959" spans="1:1" ht="18.75" customHeight="1">
      <c r="A4959"/>
    </row>
    <row r="4960" spans="1:1" ht="18.75" customHeight="1">
      <c r="A4960"/>
    </row>
    <row r="4961" spans="1:1" ht="18.75" customHeight="1">
      <c r="A4961"/>
    </row>
    <row r="4962" spans="1:1" ht="18.75" customHeight="1">
      <c r="A4962"/>
    </row>
    <row r="4963" spans="1:1" ht="18.75" customHeight="1">
      <c r="A4963"/>
    </row>
    <row r="4964" spans="1:1" ht="18.75" customHeight="1">
      <c r="A4964"/>
    </row>
    <row r="4965" spans="1:1" ht="18.75" customHeight="1">
      <c r="A4965"/>
    </row>
    <row r="4966" spans="1:1" ht="18.75" customHeight="1">
      <c r="A4966"/>
    </row>
    <row r="4967" spans="1:1" ht="18.75" customHeight="1">
      <c r="A4967"/>
    </row>
    <row r="4968" spans="1:1" ht="18.75" customHeight="1">
      <c r="A4968"/>
    </row>
    <row r="4969" spans="1:1" ht="18.75" customHeight="1">
      <c r="A4969"/>
    </row>
    <row r="4970" spans="1:1" ht="18.75" customHeight="1">
      <c r="A4970"/>
    </row>
    <row r="4971" spans="1:1" ht="18.75" customHeight="1">
      <c r="A4971"/>
    </row>
    <row r="4972" spans="1:1" ht="18.75" customHeight="1">
      <c r="A4972"/>
    </row>
    <row r="4973" spans="1:1" ht="18.75" customHeight="1">
      <c r="A4973"/>
    </row>
    <row r="4974" spans="1:1" ht="18.75" customHeight="1">
      <c r="A4974"/>
    </row>
    <row r="4975" spans="1:1" ht="18.75" customHeight="1">
      <c r="A4975"/>
    </row>
    <row r="4976" spans="1:1" ht="18.75" customHeight="1">
      <c r="A4976"/>
    </row>
    <row r="4977" spans="1:1" ht="18.75" customHeight="1">
      <c r="A4977"/>
    </row>
    <row r="4978" spans="1:1" ht="18.75" customHeight="1">
      <c r="A4978"/>
    </row>
    <row r="4979" spans="1:1" ht="18.75" customHeight="1">
      <c r="A4979"/>
    </row>
    <row r="4980" spans="1:1" ht="18.75" customHeight="1">
      <c r="A4980"/>
    </row>
    <row r="4981" spans="1:1" ht="18.75" customHeight="1">
      <c r="A4981"/>
    </row>
    <row r="4982" spans="1:1" ht="18.75" customHeight="1">
      <c r="A4982"/>
    </row>
    <row r="4983" spans="1:1" ht="18.75" customHeight="1">
      <c r="A4983"/>
    </row>
    <row r="4984" spans="1:1" ht="18.75" customHeight="1">
      <c r="A4984"/>
    </row>
    <row r="4985" spans="1:1" ht="18.75" customHeight="1">
      <c r="A4985"/>
    </row>
    <row r="4986" spans="1:1" ht="18.75" customHeight="1">
      <c r="A4986"/>
    </row>
    <row r="4987" spans="1:1" ht="18.75" customHeight="1">
      <c r="A4987"/>
    </row>
    <row r="4988" spans="1:1" ht="18.75" customHeight="1">
      <c r="A4988"/>
    </row>
    <row r="4989" spans="1:1" ht="18.75" customHeight="1">
      <c r="A4989"/>
    </row>
    <row r="4990" spans="1:1" ht="18.75" customHeight="1">
      <c r="A4990"/>
    </row>
    <row r="4991" spans="1:1" ht="18.75" customHeight="1">
      <c r="A4991"/>
    </row>
    <row r="4992" spans="1:1" ht="18.75" customHeight="1">
      <c r="A4992"/>
    </row>
    <row r="4993" spans="1:1" ht="18.75" customHeight="1">
      <c r="A4993"/>
    </row>
    <row r="4994" spans="1:1" ht="18.75" customHeight="1">
      <c r="A4994"/>
    </row>
    <row r="4995" spans="1:1" ht="18.75" customHeight="1">
      <c r="A4995"/>
    </row>
    <row r="4996" spans="1:1" ht="18.75" customHeight="1">
      <c r="A4996"/>
    </row>
    <row r="4997" spans="1:1" ht="18.75" customHeight="1">
      <c r="A4997"/>
    </row>
    <row r="4998" spans="1:1" ht="18.75" customHeight="1">
      <c r="A4998"/>
    </row>
    <row r="4999" spans="1:1" ht="18.75" customHeight="1">
      <c r="A4999"/>
    </row>
    <row r="5000" spans="1:1" ht="18.75" customHeight="1">
      <c r="A5000"/>
    </row>
    <row r="5001" spans="1:1" ht="18.75" customHeight="1">
      <c r="A5001"/>
    </row>
    <row r="5002" spans="1:1" ht="18.75" customHeight="1">
      <c r="A5002"/>
    </row>
    <row r="5003" spans="1:1" ht="18.75" customHeight="1">
      <c r="A5003"/>
    </row>
    <row r="5004" spans="1:1" ht="18.75" customHeight="1">
      <c r="A5004"/>
    </row>
    <row r="5005" spans="1:1" ht="18.75" customHeight="1">
      <c r="A5005"/>
    </row>
    <row r="5006" spans="1:1" ht="18.75" customHeight="1">
      <c r="A5006"/>
    </row>
    <row r="5007" spans="1:1" ht="18.75" customHeight="1">
      <c r="A5007"/>
    </row>
    <row r="5008" spans="1:1" ht="18.75" customHeight="1">
      <c r="A5008"/>
    </row>
    <row r="5009" spans="1:1" ht="18.75" customHeight="1">
      <c r="A5009"/>
    </row>
    <row r="5010" spans="1:1" ht="18.75" customHeight="1">
      <c r="A5010"/>
    </row>
    <row r="5011" spans="1:1" ht="18.75" customHeight="1">
      <c r="A5011"/>
    </row>
    <row r="5012" spans="1:1" ht="18.75" customHeight="1">
      <c r="A5012"/>
    </row>
    <row r="5013" spans="1:1" ht="18.75" customHeight="1">
      <c r="A5013"/>
    </row>
    <row r="5014" spans="1:1" ht="18.75" customHeight="1">
      <c r="A5014"/>
    </row>
    <row r="5015" spans="1:1" ht="18.75" customHeight="1">
      <c r="A5015"/>
    </row>
    <row r="5016" spans="1:1" ht="18.75" customHeight="1">
      <c r="A5016"/>
    </row>
    <row r="5017" spans="1:1" ht="18.75" customHeight="1">
      <c r="A5017"/>
    </row>
    <row r="5018" spans="1:1" ht="18.75" customHeight="1">
      <c r="A5018"/>
    </row>
    <row r="5019" spans="1:1" ht="18.75" customHeight="1">
      <c r="A5019"/>
    </row>
    <row r="5020" spans="1:1" ht="18.75" customHeight="1">
      <c r="A5020"/>
    </row>
    <row r="5021" spans="1:1" ht="18.75" customHeight="1">
      <c r="A5021"/>
    </row>
    <row r="5022" spans="1:1" ht="18.75" customHeight="1">
      <c r="A5022"/>
    </row>
    <row r="5023" spans="1:1" ht="18.75" customHeight="1">
      <c r="A5023"/>
    </row>
    <row r="5024" spans="1:1" ht="18.75" customHeight="1">
      <c r="A5024"/>
    </row>
    <row r="5025" spans="1:1" ht="18.75" customHeight="1">
      <c r="A5025"/>
    </row>
    <row r="5026" spans="1:1" ht="18.75" customHeight="1">
      <c r="A5026"/>
    </row>
    <row r="5027" spans="1:1" ht="18.75" customHeight="1">
      <c r="A5027"/>
    </row>
    <row r="5028" spans="1:1" ht="18.75" customHeight="1">
      <c r="A5028"/>
    </row>
    <row r="5029" spans="1:1" ht="18.75" customHeight="1">
      <c r="A5029"/>
    </row>
    <row r="5030" spans="1:1" ht="18.75" customHeight="1">
      <c r="A5030"/>
    </row>
    <row r="5031" spans="1:1" ht="18.75" customHeight="1">
      <c r="A5031"/>
    </row>
    <row r="5032" spans="1:1" ht="18.75" customHeight="1">
      <c r="A5032"/>
    </row>
    <row r="5033" spans="1:1" ht="18.75" customHeight="1">
      <c r="A5033"/>
    </row>
    <row r="5034" spans="1:1" ht="18.75" customHeight="1">
      <c r="A5034"/>
    </row>
    <row r="5035" spans="1:1" ht="18.75" customHeight="1">
      <c r="A5035"/>
    </row>
    <row r="5036" spans="1:1" ht="18.75" customHeight="1">
      <c r="A5036"/>
    </row>
    <row r="5037" spans="1:1" ht="18.75" customHeight="1">
      <c r="A5037"/>
    </row>
    <row r="5038" spans="1:1" ht="18.75" customHeight="1">
      <c r="A5038"/>
    </row>
    <row r="5039" spans="1:1" ht="18.75" customHeight="1">
      <c r="A5039"/>
    </row>
    <row r="5040" spans="1:1" ht="18.75" customHeight="1">
      <c r="A5040"/>
    </row>
    <row r="5041" spans="1:1" ht="18.75" customHeight="1">
      <c r="A5041"/>
    </row>
    <row r="5042" spans="1:1" ht="18.75" customHeight="1">
      <c r="A5042"/>
    </row>
    <row r="5043" spans="1:1" ht="18.75" customHeight="1">
      <c r="A5043"/>
    </row>
    <row r="5044" spans="1:1" ht="18.75" customHeight="1">
      <c r="A5044"/>
    </row>
    <row r="5045" spans="1:1" ht="18.75" customHeight="1">
      <c r="A5045"/>
    </row>
    <row r="5046" spans="1:1" ht="18.75" customHeight="1">
      <c r="A5046"/>
    </row>
    <row r="5047" spans="1:1" ht="18.75" customHeight="1">
      <c r="A5047"/>
    </row>
    <row r="5048" spans="1:1" ht="18.75" customHeight="1">
      <c r="A5048"/>
    </row>
    <row r="5049" spans="1:1" ht="18.75" customHeight="1">
      <c r="A5049"/>
    </row>
    <row r="5050" spans="1:1" ht="18.75" customHeight="1">
      <c r="A5050"/>
    </row>
    <row r="5051" spans="1:1" ht="18.75" customHeight="1">
      <c r="A5051"/>
    </row>
    <row r="5052" spans="1:1" ht="18.75" customHeight="1">
      <c r="A5052"/>
    </row>
    <row r="5053" spans="1:1" ht="18.75" customHeight="1">
      <c r="A5053"/>
    </row>
    <row r="5054" spans="1:1" ht="18.75" customHeight="1">
      <c r="A5054"/>
    </row>
    <row r="5055" spans="1:1" ht="18.75" customHeight="1">
      <c r="A5055"/>
    </row>
    <row r="5056" spans="1:1" ht="18.75" customHeight="1">
      <c r="A5056"/>
    </row>
    <row r="5057" spans="1:1" ht="18.75" customHeight="1">
      <c r="A5057"/>
    </row>
    <row r="5058" spans="1:1" ht="18.75" customHeight="1">
      <c r="A5058"/>
    </row>
    <row r="5059" spans="1:1" ht="18.75" customHeight="1">
      <c r="A5059"/>
    </row>
    <row r="5060" spans="1:1" ht="18.75" customHeight="1">
      <c r="A5060"/>
    </row>
    <row r="5061" spans="1:1" ht="18.75" customHeight="1">
      <c r="A5061"/>
    </row>
    <row r="5062" spans="1:1" ht="18.75" customHeight="1">
      <c r="A5062"/>
    </row>
    <row r="5063" spans="1:1" ht="18.75" customHeight="1">
      <c r="A5063"/>
    </row>
    <row r="5064" spans="1:1" ht="18.75" customHeight="1">
      <c r="A5064"/>
    </row>
    <row r="5065" spans="1:1" ht="18.75" customHeight="1">
      <c r="A5065"/>
    </row>
    <row r="5066" spans="1:1" ht="18.75" customHeight="1">
      <c r="A5066"/>
    </row>
    <row r="5067" spans="1:1" ht="18.75" customHeight="1">
      <c r="A5067"/>
    </row>
    <row r="5068" spans="1:1" ht="18.75" customHeight="1">
      <c r="A5068"/>
    </row>
    <row r="5069" spans="1:1" ht="18.75" customHeight="1">
      <c r="A5069"/>
    </row>
    <row r="5070" spans="1:1" ht="18.75" customHeight="1">
      <c r="A5070"/>
    </row>
    <row r="5071" spans="1:1" ht="18.75" customHeight="1">
      <c r="A5071"/>
    </row>
    <row r="5072" spans="1:1" ht="18.75" customHeight="1">
      <c r="A5072"/>
    </row>
    <row r="5073" spans="1:1" ht="18.75" customHeight="1">
      <c r="A5073"/>
    </row>
    <row r="5074" spans="1:1" ht="18.75" customHeight="1">
      <c r="A5074"/>
    </row>
    <row r="5075" spans="1:1" ht="18.75" customHeight="1">
      <c r="A5075"/>
    </row>
    <row r="5076" spans="1:1" ht="18.75" customHeight="1">
      <c r="A5076"/>
    </row>
    <row r="5077" spans="1:1" ht="18.75" customHeight="1">
      <c r="A5077"/>
    </row>
    <row r="5078" spans="1:1" ht="18.75" customHeight="1">
      <c r="A5078"/>
    </row>
    <row r="5079" spans="1:1" ht="18.75" customHeight="1">
      <c r="A5079"/>
    </row>
    <row r="5080" spans="1:1" ht="18.75" customHeight="1">
      <c r="A5080"/>
    </row>
    <row r="5081" spans="1:1" ht="18.75" customHeight="1">
      <c r="A5081"/>
    </row>
    <row r="5082" spans="1:1" ht="18.75" customHeight="1">
      <c r="A5082"/>
    </row>
    <row r="5083" spans="1:1" ht="18.75" customHeight="1">
      <c r="A5083"/>
    </row>
    <row r="5084" spans="1:1" ht="18.75" customHeight="1">
      <c r="A5084"/>
    </row>
    <row r="5085" spans="1:1" ht="18.75" customHeight="1">
      <c r="A5085"/>
    </row>
    <row r="5086" spans="1:1" ht="18.75" customHeight="1">
      <c r="A5086"/>
    </row>
    <row r="5087" spans="1:1" ht="18.75" customHeight="1">
      <c r="A5087"/>
    </row>
    <row r="5088" spans="1:1" ht="18.75" customHeight="1">
      <c r="A5088"/>
    </row>
    <row r="5089" spans="1:1" ht="18.75" customHeight="1">
      <c r="A5089"/>
    </row>
    <row r="5090" spans="1:1" ht="18.75" customHeight="1">
      <c r="A5090"/>
    </row>
    <row r="5091" spans="1:1" ht="18.75" customHeight="1">
      <c r="A5091"/>
    </row>
    <row r="5092" spans="1:1" ht="18.75" customHeight="1">
      <c r="A5092"/>
    </row>
    <row r="5093" spans="1:1" ht="18.75" customHeight="1">
      <c r="A5093"/>
    </row>
    <row r="5094" spans="1:1" ht="18.75" customHeight="1">
      <c r="A5094"/>
    </row>
    <row r="5095" spans="1:1" ht="18.75" customHeight="1">
      <c r="A5095"/>
    </row>
    <row r="5096" spans="1:1" ht="18.75" customHeight="1">
      <c r="A5096"/>
    </row>
    <row r="5097" spans="1:1" ht="18.75" customHeight="1">
      <c r="A5097"/>
    </row>
    <row r="5098" spans="1:1" ht="18.75" customHeight="1">
      <c r="A5098"/>
    </row>
    <row r="5099" spans="1:1" ht="18.75" customHeight="1">
      <c r="A5099"/>
    </row>
    <row r="5100" spans="1:1" ht="18.75" customHeight="1">
      <c r="A5100"/>
    </row>
    <row r="5101" spans="1:1" ht="18.75" customHeight="1">
      <c r="A5101"/>
    </row>
    <row r="5102" spans="1:1" ht="18.75" customHeight="1">
      <c r="A5102"/>
    </row>
    <row r="5103" spans="1:1" ht="18.75" customHeight="1">
      <c r="A5103"/>
    </row>
    <row r="5104" spans="1:1" ht="18.75" customHeight="1">
      <c r="A5104"/>
    </row>
    <row r="5105" spans="1:1" ht="18.75" customHeight="1">
      <c r="A5105"/>
    </row>
    <row r="5106" spans="1:1" ht="18.75" customHeight="1">
      <c r="A5106"/>
    </row>
    <row r="5107" spans="1:1" ht="18.75" customHeight="1">
      <c r="A5107"/>
    </row>
    <row r="5108" spans="1:1" ht="18.75" customHeight="1">
      <c r="A5108"/>
    </row>
    <row r="5109" spans="1:1" ht="18.75" customHeight="1">
      <c r="A5109"/>
    </row>
    <row r="5110" spans="1:1" ht="18.75" customHeight="1">
      <c r="A5110"/>
    </row>
    <row r="5111" spans="1:1" ht="18.75" customHeight="1">
      <c r="A5111"/>
    </row>
    <row r="5112" spans="1:1" ht="18.75" customHeight="1">
      <c r="A5112"/>
    </row>
    <row r="5113" spans="1:1" ht="18.75" customHeight="1">
      <c r="A5113"/>
    </row>
    <row r="5114" spans="1:1" ht="18.75" customHeight="1">
      <c r="A5114"/>
    </row>
    <row r="5115" spans="1:1" ht="18.75" customHeight="1">
      <c r="A5115"/>
    </row>
    <row r="5116" spans="1:1" ht="18.75" customHeight="1">
      <c r="A5116"/>
    </row>
    <row r="5117" spans="1:1" ht="18.75" customHeight="1">
      <c r="A5117"/>
    </row>
    <row r="5118" spans="1:1" ht="18.75" customHeight="1">
      <c r="A5118"/>
    </row>
    <row r="5119" spans="1:1" ht="18.75" customHeight="1">
      <c r="A5119"/>
    </row>
    <row r="5120" spans="1:1" ht="18.75" customHeight="1">
      <c r="A5120"/>
    </row>
    <row r="5121" spans="1:1" ht="18.75" customHeight="1">
      <c r="A5121"/>
    </row>
    <row r="5122" spans="1:1" ht="18.75" customHeight="1">
      <c r="A5122"/>
    </row>
    <row r="5123" spans="1:1" ht="18.75" customHeight="1">
      <c r="A5123"/>
    </row>
    <row r="5124" spans="1:1" ht="18.75" customHeight="1">
      <c r="A5124"/>
    </row>
    <row r="5125" spans="1:1" ht="18.75" customHeight="1">
      <c r="A5125"/>
    </row>
    <row r="5126" spans="1:1" ht="18.75" customHeight="1">
      <c r="A5126"/>
    </row>
    <row r="5127" spans="1:1" ht="18.75" customHeight="1">
      <c r="A5127"/>
    </row>
    <row r="5128" spans="1:1" ht="18.75" customHeight="1">
      <c r="A5128"/>
    </row>
    <row r="5129" spans="1:1" ht="18.75" customHeight="1">
      <c r="A5129"/>
    </row>
    <row r="5130" spans="1:1" ht="18.75" customHeight="1">
      <c r="A5130"/>
    </row>
    <row r="5131" spans="1:1" ht="18.75" customHeight="1">
      <c r="A5131"/>
    </row>
    <row r="5132" spans="1:1" ht="18.75" customHeight="1">
      <c r="A5132"/>
    </row>
    <row r="5133" spans="1:1" ht="18.75" customHeight="1">
      <c r="A5133"/>
    </row>
    <row r="5134" spans="1:1" ht="18.75" customHeight="1">
      <c r="A5134"/>
    </row>
    <row r="5135" spans="1:1" ht="18.75" customHeight="1">
      <c r="A5135"/>
    </row>
    <row r="5136" spans="1:1" ht="18.75" customHeight="1">
      <c r="A5136"/>
    </row>
    <row r="5137" spans="1:1" ht="18.75" customHeight="1">
      <c r="A5137"/>
    </row>
    <row r="5138" spans="1:1" ht="18.75" customHeight="1">
      <c r="A5138"/>
    </row>
    <row r="5139" spans="1:1" ht="18.75" customHeight="1">
      <c r="A5139"/>
    </row>
    <row r="5140" spans="1:1" ht="18.75" customHeight="1">
      <c r="A5140"/>
    </row>
    <row r="5141" spans="1:1" ht="18.75" customHeight="1">
      <c r="A5141"/>
    </row>
    <row r="5142" spans="1:1" ht="18.75" customHeight="1">
      <c r="A5142"/>
    </row>
    <row r="5143" spans="1:1" ht="18.75" customHeight="1">
      <c r="A5143"/>
    </row>
    <row r="5144" spans="1:1" ht="18.75" customHeight="1">
      <c r="A5144"/>
    </row>
    <row r="5145" spans="1:1" ht="18.75" customHeight="1">
      <c r="A5145"/>
    </row>
    <row r="5146" spans="1:1" ht="18.75" customHeight="1">
      <c r="A5146"/>
    </row>
    <row r="5147" spans="1:1" ht="18.75" customHeight="1">
      <c r="A5147"/>
    </row>
    <row r="5148" spans="1:1" ht="18.75" customHeight="1">
      <c r="A5148"/>
    </row>
    <row r="5149" spans="1:1" ht="18.75" customHeight="1">
      <c r="A5149"/>
    </row>
    <row r="5150" spans="1:1" ht="18.75" customHeight="1">
      <c r="A5150"/>
    </row>
    <row r="5151" spans="1:1" ht="18.75" customHeight="1">
      <c r="A5151"/>
    </row>
    <row r="5152" spans="1:1" ht="18.75" customHeight="1">
      <c r="A5152"/>
    </row>
    <row r="5153" spans="1:1" ht="18.75" customHeight="1">
      <c r="A5153"/>
    </row>
    <row r="5154" spans="1:1" ht="18.75" customHeight="1">
      <c r="A5154"/>
    </row>
    <row r="5155" spans="1:1" ht="18.75" customHeight="1">
      <c r="A5155"/>
    </row>
    <row r="5156" spans="1:1" ht="18.75" customHeight="1">
      <c r="A5156"/>
    </row>
    <row r="5157" spans="1:1" ht="18.75" customHeight="1">
      <c r="A5157"/>
    </row>
    <row r="5158" spans="1:1" ht="18.75" customHeight="1">
      <c r="A5158"/>
    </row>
    <row r="5159" spans="1:1" ht="18.75" customHeight="1">
      <c r="A5159"/>
    </row>
    <row r="5160" spans="1:1" ht="18.75" customHeight="1">
      <c r="A5160"/>
    </row>
    <row r="5161" spans="1:1" ht="18.75" customHeight="1">
      <c r="A5161"/>
    </row>
    <row r="5162" spans="1:1" ht="18.75" customHeight="1">
      <c r="A5162"/>
    </row>
    <row r="5163" spans="1:1" ht="18.75" customHeight="1">
      <c r="A5163"/>
    </row>
    <row r="5164" spans="1:1" ht="18.75" customHeight="1">
      <c r="A5164"/>
    </row>
    <row r="5165" spans="1:1" ht="18.75" customHeight="1">
      <c r="A5165"/>
    </row>
    <row r="5166" spans="1:1" ht="18.75" customHeight="1">
      <c r="A5166"/>
    </row>
    <row r="5167" spans="1:1" ht="18.75" customHeight="1">
      <c r="A5167"/>
    </row>
    <row r="5168" spans="1:1" ht="18.75" customHeight="1">
      <c r="A5168"/>
    </row>
    <row r="5169" spans="1:1" ht="18.75" customHeight="1">
      <c r="A5169"/>
    </row>
    <row r="5170" spans="1:1" ht="18.75" customHeight="1">
      <c r="A5170"/>
    </row>
    <row r="5171" spans="1:1" ht="18.75" customHeight="1">
      <c r="A5171"/>
    </row>
    <row r="5172" spans="1:1" ht="18.75" customHeight="1">
      <c r="A5172"/>
    </row>
    <row r="5173" spans="1:1" ht="18.75" customHeight="1">
      <c r="A5173"/>
    </row>
    <row r="5174" spans="1:1" ht="18.75" customHeight="1">
      <c r="A5174"/>
    </row>
    <row r="5175" spans="1:1" ht="18.75" customHeight="1">
      <c r="A5175"/>
    </row>
    <row r="5176" spans="1:1" ht="18.75" customHeight="1">
      <c r="A5176"/>
    </row>
    <row r="5177" spans="1:1" ht="18.75" customHeight="1">
      <c r="A5177"/>
    </row>
    <row r="5178" spans="1:1" ht="18.75" customHeight="1">
      <c r="A5178"/>
    </row>
    <row r="5179" spans="1:1" ht="18.75" customHeight="1">
      <c r="A5179"/>
    </row>
    <row r="5180" spans="1:1" ht="18.75" customHeight="1">
      <c r="A5180"/>
    </row>
    <row r="5181" spans="1:1" ht="18.75" customHeight="1">
      <c r="A5181"/>
    </row>
    <row r="5182" spans="1:1" ht="18.75" customHeight="1">
      <c r="A5182"/>
    </row>
    <row r="5183" spans="1:1" ht="18.75" customHeight="1">
      <c r="A5183"/>
    </row>
    <row r="5184" spans="1:1" ht="18.75" customHeight="1">
      <c r="A5184"/>
    </row>
    <row r="5185" spans="1:1" ht="18.75" customHeight="1">
      <c r="A5185"/>
    </row>
    <row r="5186" spans="1:1" ht="18.75" customHeight="1">
      <c r="A5186"/>
    </row>
    <row r="5187" spans="1:1" ht="18.75" customHeight="1">
      <c r="A5187"/>
    </row>
    <row r="5188" spans="1:1" ht="18.75" customHeight="1">
      <c r="A5188"/>
    </row>
    <row r="5189" spans="1:1" ht="18.75" customHeight="1">
      <c r="A5189"/>
    </row>
    <row r="5190" spans="1:1" ht="18.75" customHeight="1">
      <c r="A5190"/>
    </row>
    <row r="5191" spans="1:1" ht="18.75" customHeight="1">
      <c r="A5191"/>
    </row>
    <row r="5192" spans="1:1" ht="18.75" customHeight="1">
      <c r="A5192"/>
    </row>
    <row r="5193" spans="1:1" ht="18.75" customHeight="1">
      <c r="A5193"/>
    </row>
    <row r="5194" spans="1:1" ht="18.75" customHeight="1">
      <c r="A5194"/>
    </row>
    <row r="5195" spans="1:1" ht="18.75" customHeight="1">
      <c r="A5195"/>
    </row>
    <row r="5196" spans="1:1" ht="18.75" customHeight="1">
      <c r="A5196"/>
    </row>
    <row r="5197" spans="1:1" ht="18.75" customHeight="1">
      <c r="A5197"/>
    </row>
    <row r="5198" spans="1:1" ht="18.75" customHeight="1">
      <c r="A5198"/>
    </row>
    <row r="5199" spans="1:1" ht="18.75" customHeight="1">
      <c r="A5199"/>
    </row>
    <row r="5200" spans="1:1" ht="18.75" customHeight="1">
      <c r="A5200"/>
    </row>
    <row r="5201" spans="1:1" ht="18.75" customHeight="1">
      <c r="A5201"/>
    </row>
    <row r="5202" spans="1:1" ht="18.75" customHeight="1">
      <c r="A5202"/>
    </row>
    <row r="5203" spans="1:1" ht="18.75" customHeight="1">
      <c r="A5203"/>
    </row>
    <row r="5204" spans="1:1" ht="18.75" customHeight="1">
      <c r="A5204"/>
    </row>
    <row r="5205" spans="1:1" ht="18.75" customHeight="1">
      <c r="A5205"/>
    </row>
    <row r="5206" spans="1:1" ht="18.75" customHeight="1">
      <c r="A5206"/>
    </row>
    <row r="5207" spans="1:1" ht="18.75" customHeight="1">
      <c r="A5207"/>
    </row>
    <row r="5208" spans="1:1" ht="18.75" customHeight="1">
      <c r="A5208"/>
    </row>
    <row r="5209" spans="1:1" ht="18.75" customHeight="1">
      <c r="A5209"/>
    </row>
    <row r="5210" spans="1:1" ht="18.75" customHeight="1">
      <c r="A5210"/>
    </row>
    <row r="5211" spans="1:1" ht="18.75" customHeight="1">
      <c r="A5211"/>
    </row>
    <row r="5212" spans="1:1" ht="18.75" customHeight="1">
      <c r="A5212"/>
    </row>
    <row r="5213" spans="1:1" ht="18.75" customHeight="1">
      <c r="A5213"/>
    </row>
    <row r="5214" spans="1:1" ht="18.75" customHeight="1">
      <c r="A5214"/>
    </row>
    <row r="5215" spans="1:1" ht="18.75" customHeight="1">
      <c r="A5215"/>
    </row>
    <row r="5216" spans="1:1" ht="18.75" customHeight="1">
      <c r="A5216"/>
    </row>
    <row r="5217" spans="1:1" ht="18.75" customHeight="1">
      <c r="A5217"/>
    </row>
    <row r="5218" spans="1:1" ht="18.75" customHeight="1">
      <c r="A5218"/>
    </row>
    <row r="5219" spans="1:1" ht="18.75" customHeight="1">
      <c r="A5219"/>
    </row>
    <row r="5220" spans="1:1" ht="18.75" customHeight="1">
      <c r="A5220"/>
    </row>
    <row r="5221" spans="1:1" ht="18.75" customHeight="1">
      <c r="A5221"/>
    </row>
    <row r="5222" spans="1:1" ht="18.75" customHeight="1">
      <c r="A5222"/>
    </row>
    <row r="5223" spans="1:1" ht="18.75" customHeight="1">
      <c r="A5223"/>
    </row>
    <row r="5224" spans="1:1" ht="18.75" customHeight="1">
      <c r="A5224"/>
    </row>
    <row r="5225" spans="1:1" ht="18.75" customHeight="1">
      <c r="A5225"/>
    </row>
    <row r="5226" spans="1:1" ht="18.75" customHeight="1">
      <c r="A5226"/>
    </row>
    <row r="5227" spans="1:1" ht="18.75" customHeight="1">
      <c r="A5227"/>
    </row>
    <row r="5228" spans="1:1" ht="18.75" customHeight="1">
      <c r="A5228"/>
    </row>
    <row r="5229" spans="1:1" ht="18.75" customHeight="1">
      <c r="A5229"/>
    </row>
    <row r="5230" spans="1:1" ht="18.75" customHeight="1">
      <c r="A5230"/>
    </row>
    <row r="5231" spans="1:1" ht="18.75" customHeight="1">
      <c r="A5231"/>
    </row>
    <row r="5232" spans="1:1" ht="18.75" customHeight="1">
      <c r="A5232"/>
    </row>
    <row r="5233" spans="1:1" ht="18.75" customHeight="1">
      <c r="A5233"/>
    </row>
    <row r="5234" spans="1:1" ht="18.75" customHeight="1">
      <c r="A5234"/>
    </row>
    <row r="5235" spans="1:1" ht="18.75" customHeight="1">
      <c r="A5235"/>
    </row>
    <row r="5236" spans="1:1" ht="18.75" customHeight="1">
      <c r="A5236"/>
    </row>
    <row r="5237" spans="1:1" ht="18.75" customHeight="1">
      <c r="A5237"/>
    </row>
    <row r="5238" spans="1:1" ht="18.75" customHeight="1">
      <c r="A5238"/>
    </row>
    <row r="5239" spans="1:1" ht="18.75" customHeight="1">
      <c r="A5239"/>
    </row>
    <row r="5240" spans="1:1" ht="18.75" customHeight="1">
      <c r="A5240"/>
    </row>
    <row r="5241" spans="1:1" ht="18.75" customHeight="1">
      <c r="A5241"/>
    </row>
    <row r="5242" spans="1:1" ht="18.75" customHeight="1">
      <c r="A5242"/>
    </row>
    <row r="5243" spans="1:1" ht="18.75" customHeight="1">
      <c r="A5243"/>
    </row>
    <row r="5244" spans="1:1" ht="18.75" customHeight="1">
      <c r="A5244"/>
    </row>
    <row r="5245" spans="1:1" ht="18.75" customHeight="1">
      <c r="A5245"/>
    </row>
    <row r="5246" spans="1:1" ht="18.75" customHeight="1">
      <c r="A5246"/>
    </row>
    <row r="5247" spans="1:1" ht="18.75" customHeight="1">
      <c r="A5247"/>
    </row>
    <row r="5248" spans="1:1" ht="18.75" customHeight="1">
      <c r="A5248"/>
    </row>
    <row r="5249" spans="1:1" ht="18.75" customHeight="1">
      <c r="A5249"/>
    </row>
    <row r="5250" spans="1:1" ht="18.75" customHeight="1">
      <c r="A5250"/>
    </row>
    <row r="5251" spans="1:1" ht="18.75" customHeight="1">
      <c r="A5251"/>
    </row>
    <row r="5252" spans="1:1" ht="18.75" customHeight="1">
      <c r="A5252"/>
    </row>
    <row r="5253" spans="1:1" ht="18.75" customHeight="1">
      <c r="A5253"/>
    </row>
    <row r="5254" spans="1:1" ht="18.75" customHeight="1">
      <c r="A5254"/>
    </row>
    <row r="5255" spans="1:1" ht="18.75" customHeight="1">
      <c r="A5255"/>
    </row>
    <row r="5256" spans="1:1" ht="18.75" customHeight="1">
      <c r="A5256"/>
    </row>
    <row r="5257" spans="1:1" ht="18.75" customHeight="1">
      <c r="A5257"/>
    </row>
    <row r="5258" spans="1:1" ht="18.75" customHeight="1">
      <c r="A5258"/>
    </row>
    <row r="5259" spans="1:1" ht="18.75" customHeight="1">
      <c r="A5259"/>
    </row>
    <row r="5260" spans="1:1" ht="18.75" customHeight="1">
      <c r="A5260"/>
    </row>
    <row r="5261" spans="1:1" ht="18.75" customHeight="1">
      <c r="A5261"/>
    </row>
    <row r="5262" spans="1:1" ht="18.75" customHeight="1">
      <c r="A5262"/>
    </row>
    <row r="5263" spans="1:1" ht="18.75" customHeight="1">
      <c r="A5263"/>
    </row>
    <row r="5264" spans="1:1" ht="18.75" customHeight="1">
      <c r="A5264"/>
    </row>
    <row r="5265" spans="1:1" ht="18.75" customHeight="1">
      <c r="A5265"/>
    </row>
    <row r="5266" spans="1:1" ht="18.75" customHeight="1">
      <c r="A5266"/>
    </row>
    <row r="5267" spans="1:1" ht="18.75" customHeight="1">
      <c r="A5267"/>
    </row>
    <row r="5268" spans="1:1" ht="18.75" customHeight="1">
      <c r="A5268"/>
    </row>
    <row r="5269" spans="1:1" ht="18.75" customHeight="1">
      <c r="A5269"/>
    </row>
    <row r="5270" spans="1:1" ht="18.75" customHeight="1">
      <c r="A5270"/>
    </row>
    <row r="5271" spans="1:1" ht="18.75" customHeight="1">
      <c r="A5271"/>
    </row>
    <row r="5272" spans="1:1" ht="18.75" customHeight="1">
      <c r="A5272"/>
    </row>
    <row r="5273" spans="1:1" ht="18.75" customHeight="1">
      <c r="A5273"/>
    </row>
    <row r="5274" spans="1:1" ht="18.75" customHeight="1">
      <c r="A5274"/>
    </row>
    <row r="5275" spans="1:1" ht="18.75" customHeight="1">
      <c r="A5275"/>
    </row>
    <row r="5276" spans="1:1" ht="18.75" customHeight="1">
      <c r="A5276"/>
    </row>
    <row r="5277" spans="1:1" ht="18.75" customHeight="1">
      <c r="A5277"/>
    </row>
    <row r="5278" spans="1:1" ht="18.75" customHeight="1">
      <c r="A5278"/>
    </row>
    <row r="5279" spans="1:1" ht="18.75" customHeight="1">
      <c r="A5279"/>
    </row>
    <row r="5280" spans="1:1" ht="18.75" customHeight="1">
      <c r="A5280"/>
    </row>
    <row r="5281" spans="1:1" ht="18.75" customHeight="1">
      <c r="A5281"/>
    </row>
    <row r="5282" spans="1:1" ht="18.75" customHeight="1">
      <c r="A5282"/>
    </row>
    <row r="5283" spans="1:1" ht="18.75" customHeight="1">
      <c r="A5283"/>
    </row>
    <row r="5284" spans="1:1" ht="18.75" customHeight="1">
      <c r="A5284"/>
    </row>
    <row r="5285" spans="1:1" ht="18.75" customHeight="1">
      <c r="A5285"/>
    </row>
    <row r="5286" spans="1:1" ht="18.75" customHeight="1">
      <c r="A5286"/>
    </row>
    <row r="5287" spans="1:1" ht="18.75" customHeight="1">
      <c r="A5287"/>
    </row>
    <row r="5288" spans="1:1" ht="18.75" customHeight="1">
      <c r="A5288"/>
    </row>
    <row r="5289" spans="1:1" ht="18.75" customHeight="1">
      <c r="A5289"/>
    </row>
    <row r="5290" spans="1:1" ht="18.75" customHeight="1">
      <c r="A5290"/>
    </row>
    <row r="5291" spans="1:1" ht="18.75" customHeight="1">
      <c r="A5291"/>
    </row>
    <row r="5292" spans="1:1" ht="18.75" customHeight="1">
      <c r="A5292"/>
    </row>
    <row r="5293" spans="1:1" ht="18.75" customHeight="1">
      <c r="A5293"/>
    </row>
    <row r="5294" spans="1:1" ht="18.75" customHeight="1">
      <c r="A5294"/>
    </row>
    <row r="5295" spans="1:1" ht="18.75" customHeight="1">
      <c r="A5295"/>
    </row>
    <row r="5296" spans="1:1" ht="18.75" customHeight="1">
      <c r="A5296"/>
    </row>
    <row r="5297" spans="1:1" ht="18.75" customHeight="1">
      <c r="A5297"/>
    </row>
    <row r="5298" spans="1:1" ht="18.75" customHeight="1">
      <c r="A5298"/>
    </row>
    <row r="5299" spans="1:1" ht="18.75" customHeight="1">
      <c r="A5299"/>
    </row>
    <row r="5300" spans="1:1" ht="18.75" customHeight="1">
      <c r="A5300"/>
    </row>
    <row r="5301" spans="1:1" ht="18.75" customHeight="1">
      <c r="A5301"/>
    </row>
    <row r="5302" spans="1:1" ht="18.75" customHeight="1">
      <c r="A5302"/>
    </row>
    <row r="5303" spans="1:1" ht="18.75" customHeight="1">
      <c r="A5303"/>
    </row>
    <row r="5304" spans="1:1" ht="18.75" customHeight="1">
      <c r="A5304"/>
    </row>
    <row r="5305" spans="1:1" ht="18.75" customHeight="1">
      <c r="A5305"/>
    </row>
    <row r="5306" spans="1:1" ht="18.75" customHeight="1">
      <c r="A5306"/>
    </row>
    <row r="5307" spans="1:1" ht="18.75" customHeight="1">
      <c r="A5307"/>
    </row>
    <row r="5308" spans="1:1" ht="18.75" customHeight="1">
      <c r="A5308"/>
    </row>
    <row r="5309" spans="1:1" ht="18.75" customHeight="1">
      <c r="A5309"/>
    </row>
    <row r="5310" spans="1:1" ht="18.75" customHeight="1">
      <c r="A5310"/>
    </row>
    <row r="5311" spans="1:1" ht="18.75" customHeight="1">
      <c r="A5311"/>
    </row>
    <row r="5312" spans="1:1" ht="18.75" customHeight="1">
      <c r="A5312"/>
    </row>
    <row r="5313" spans="1:1" ht="18.75" customHeight="1">
      <c r="A5313"/>
    </row>
    <row r="5314" spans="1:1" ht="18.75" customHeight="1">
      <c r="A5314"/>
    </row>
    <row r="5315" spans="1:1" ht="18.75" customHeight="1">
      <c r="A5315"/>
    </row>
    <row r="5316" spans="1:1" ht="18.75" customHeight="1">
      <c r="A5316"/>
    </row>
    <row r="5317" spans="1:1" ht="18.75" customHeight="1">
      <c r="A5317"/>
    </row>
    <row r="5318" spans="1:1" ht="18.75" customHeight="1">
      <c r="A5318"/>
    </row>
    <row r="5319" spans="1:1" ht="18.75" customHeight="1">
      <c r="A5319"/>
    </row>
    <row r="5320" spans="1:1" ht="18.75" customHeight="1">
      <c r="A5320"/>
    </row>
    <row r="5321" spans="1:1" ht="18.75" customHeight="1">
      <c r="A5321"/>
    </row>
    <row r="5322" spans="1:1" ht="18.75" customHeight="1">
      <c r="A5322"/>
    </row>
    <row r="5323" spans="1:1" ht="18.75" customHeight="1">
      <c r="A5323"/>
    </row>
    <row r="5324" spans="1:1" ht="18.75" customHeight="1">
      <c r="A5324"/>
    </row>
    <row r="5325" spans="1:1" ht="18.75" customHeight="1">
      <c r="A5325"/>
    </row>
    <row r="5326" spans="1:1" ht="18.75" customHeight="1">
      <c r="A5326"/>
    </row>
    <row r="5327" spans="1:1" ht="18.75" customHeight="1">
      <c r="A5327"/>
    </row>
    <row r="5328" spans="1:1" ht="18.75" customHeight="1">
      <c r="A5328"/>
    </row>
    <row r="5329" spans="1:1" ht="18.75" customHeight="1">
      <c r="A5329"/>
    </row>
    <row r="5330" spans="1:1" ht="18.75" customHeight="1">
      <c r="A5330"/>
    </row>
    <row r="5331" spans="1:1" ht="18.75" customHeight="1">
      <c r="A5331"/>
    </row>
    <row r="5332" spans="1:1" ht="18.75" customHeight="1">
      <c r="A5332"/>
    </row>
    <row r="5333" spans="1:1" ht="18.75" customHeight="1">
      <c r="A5333"/>
    </row>
    <row r="5334" spans="1:1" ht="18.75" customHeight="1">
      <c r="A5334"/>
    </row>
    <row r="5335" spans="1:1" ht="18.75" customHeight="1">
      <c r="A5335"/>
    </row>
    <row r="5336" spans="1:1" ht="18.75" customHeight="1">
      <c r="A5336"/>
    </row>
    <row r="5337" spans="1:1" ht="18.75" customHeight="1">
      <c r="A5337"/>
    </row>
    <row r="5338" spans="1:1" ht="18.75" customHeight="1">
      <c r="A5338"/>
    </row>
    <row r="5339" spans="1:1" ht="18.75" customHeight="1">
      <c r="A5339"/>
    </row>
    <row r="5340" spans="1:1" ht="18.75" customHeight="1">
      <c r="A5340"/>
    </row>
    <row r="5341" spans="1:1" ht="18.75" customHeight="1">
      <c r="A5341"/>
    </row>
    <row r="5342" spans="1:1" ht="18.75" customHeight="1">
      <c r="A5342"/>
    </row>
    <row r="5343" spans="1:1" ht="18.75" customHeight="1">
      <c r="A5343"/>
    </row>
    <row r="5344" spans="1:1" ht="18.75" customHeight="1">
      <c r="A5344"/>
    </row>
    <row r="5345" spans="1:1" ht="18.75" customHeight="1">
      <c r="A5345"/>
    </row>
    <row r="5346" spans="1:1" ht="18.75" customHeight="1">
      <c r="A5346"/>
    </row>
    <row r="5347" spans="1:1" ht="18.75" customHeight="1">
      <c r="A5347"/>
    </row>
    <row r="5348" spans="1:1" ht="18.75" customHeight="1">
      <c r="A5348"/>
    </row>
    <row r="5349" spans="1:1" ht="18.75" customHeight="1">
      <c r="A5349"/>
    </row>
    <row r="5350" spans="1:1" ht="18.75" customHeight="1">
      <c r="A5350"/>
    </row>
    <row r="5351" spans="1:1" ht="18.75" customHeight="1">
      <c r="A5351"/>
    </row>
    <row r="5352" spans="1:1" ht="18.75" customHeight="1">
      <c r="A5352"/>
    </row>
    <row r="5353" spans="1:1" ht="18.75" customHeight="1">
      <c r="A5353"/>
    </row>
    <row r="5354" spans="1:1" ht="18.75" customHeight="1">
      <c r="A5354"/>
    </row>
    <row r="5355" spans="1:1" ht="18.75" customHeight="1">
      <c r="A5355"/>
    </row>
    <row r="5356" spans="1:1" ht="18.75" customHeight="1">
      <c r="A5356"/>
    </row>
    <row r="5357" spans="1:1" ht="18.75" customHeight="1">
      <c r="A5357"/>
    </row>
    <row r="5358" spans="1:1" ht="18.75" customHeight="1">
      <c r="A5358"/>
    </row>
    <row r="5359" spans="1:1" ht="18.75" customHeight="1">
      <c r="A5359"/>
    </row>
    <row r="5360" spans="1:1" ht="18.75" customHeight="1">
      <c r="A5360"/>
    </row>
    <row r="5361" spans="1:1" ht="18.75" customHeight="1">
      <c r="A5361"/>
    </row>
    <row r="5362" spans="1:1" ht="18.75" customHeight="1">
      <c r="A5362"/>
    </row>
    <row r="5363" spans="1:1" ht="18.75" customHeight="1">
      <c r="A5363"/>
    </row>
    <row r="5364" spans="1:1" ht="18.75" customHeight="1">
      <c r="A5364"/>
    </row>
    <row r="5365" spans="1:1" ht="18.75" customHeight="1">
      <c r="A5365"/>
    </row>
    <row r="5366" spans="1:1" ht="18.75" customHeight="1">
      <c r="A5366"/>
    </row>
    <row r="5367" spans="1:1" ht="18.75" customHeight="1">
      <c r="A5367"/>
    </row>
    <row r="5368" spans="1:1" ht="18.75" customHeight="1">
      <c r="A5368"/>
    </row>
    <row r="5369" spans="1:1" ht="18.75" customHeight="1">
      <c r="A5369"/>
    </row>
    <row r="5370" spans="1:1" ht="18.75" customHeight="1">
      <c r="A5370"/>
    </row>
    <row r="5371" spans="1:1" ht="18.75" customHeight="1">
      <c r="A5371"/>
    </row>
    <row r="5372" spans="1:1" ht="18.75" customHeight="1">
      <c r="A5372"/>
    </row>
    <row r="5373" spans="1:1" ht="18.75" customHeight="1">
      <c r="A5373"/>
    </row>
    <row r="5374" spans="1:1" ht="18.75" customHeight="1">
      <c r="A5374"/>
    </row>
    <row r="5375" spans="1:1" ht="18.75" customHeight="1">
      <c r="A5375"/>
    </row>
    <row r="5376" spans="1:1" ht="18.75" customHeight="1">
      <c r="A5376"/>
    </row>
    <row r="5377" spans="1:1" ht="18.75" customHeight="1">
      <c r="A5377"/>
    </row>
    <row r="5378" spans="1:1" ht="18.75" customHeight="1">
      <c r="A5378"/>
    </row>
    <row r="5379" spans="1:1" ht="18.75" customHeight="1">
      <c r="A5379"/>
    </row>
    <row r="5380" spans="1:1" ht="18.75" customHeight="1">
      <c r="A5380"/>
    </row>
    <row r="5381" spans="1:1" ht="18.75" customHeight="1">
      <c r="A5381"/>
    </row>
    <row r="5382" spans="1:1" ht="18.75" customHeight="1">
      <c r="A5382"/>
    </row>
    <row r="5383" spans="1:1" ht="18.75" customHeight="1">
      <c r="A5383"/>
    </row>
    <row r="5384" spans="1:1" ht="18.75" customHeight="1">
      <c r="A5384"/>
    </row>
    <row r="5385" spans="1:1" ht="18.75" customHeight="1">
      <c r="A5385"/>
    </row>
    <row r="5386" spans="1:1" ht="18.75" customHeight="1">
      <c r="A5386"/>
    </row>
    <row r="5387" spans="1:1" ht="18.75" customHeight="1">
      <c r="A5387"/>
    </row>
    <row r="5388" spans="1:1" ht="18.75" customHeight="1">
      <c r="A5388"/>
    </row>
    <row r="5389" spans="1:1" ht="18.75" customHeight="1">
      <c r="A5389"/>
    </row>
    <row r="5390" spans="1:1" ht="18.75" customHeight="1">
      <c r="A5390"/>
    </row>
    <row r="5391" spans="1:1" ht="18.75" customHeight="1">
      <c r="A5391"/>
    </row>
    <row r="5392" spans="1:1" ht="18.75" customHeight="1">
      <c r="A5392"/>
    </row>
    <row r="5393" spans="1:1" ht="18.75" customHeight="1">
      <c r="A5393"/>
    </row>
    <row r="5394" spans="1:1" ht="18.75" customHeight="1">
      <c r="A5394"/>
    </row>
    <row r="5395" spans="1:1" ht="18.75" customHeight="1">
      <c r="A5395"/>
    </row>
    <row r="5396" spans="1:1" ht="18.75" customHeight="1">
      <c r="A5396"/>
    </row>
    <row r="5397" spans="1:1" ht="18.75" customHeight="1">
      <c r="A5397"/>
    </row>
    <row r="5398" spans="1:1" ht="18.75" customHeight="1">
      <c r="A5398"/>
    </row>
    <row r="5399" spans="1:1" ht="18.75" customHeight="1">
      <c r="A5399"/>
    </row>
    <row r="5400" spans="1:1" ht="18.75" customHeight="1">
      <c r="A5400"/>
    </row>
    <row r="5401" spans="1:1" ht="18.75" customHeight="1">
      <c r="A5401"/>
    </row>
    <row r="5402" spans="1:1" ht="18.75" customHeight="1">
      <c r="A5402"/>
    </row>
    <row r="5403" spans="1:1" ht="18.75" customHeight="1">
      <c r="A5403"/>
    </row>
    <row r="5404" spans="1:1" ht="18.75" customHeight="1">
      <c r="A5404"/>
    </row>
    <row r="5405" spans="1:1" ht="18.75" customHeight="1">
      <c r="A5405"/>
    </row>
    <row r="5406" spans="1:1" ht="18.75" customHeight="1">
      <c r="A5406"/>
    </row>
    <row r="5407" spans="1:1" ht="18.75" customHeight="1">
      <c r="A5407"/>
    </row>
    <row r="5408" spans="1:1" ht="18.75" customHeight="1">
      <c r="A5408"/>
    </row>
    <row r="5409" spans="1:1" ht="18.75" customHeight="1">
      <c r="A5409"/>
    </row>
    <row r="5410" spans="1:1" ht="18.75" customHeight="1">
      <c r="A5410"/>
    </row>
    <row r="5411" spans="1:1" ht="18.75" customHeight="1">
      <c r="A5411"/>
    </row>
    <row r="5412" spans="1:1" ht="18.75" customHeight="1">
      <c r="A5412"/>
    </row>
    <row r="5413" spans="1:1" ht="18.75" customHeight="1">
      <c r="A5413"/>
    </row>
    <row r="5414" spans="1:1" ht="18.75" customHeight="1">
      <c r="A5414"/>
    </row>
    <row r="5415" spans="1:1" ht="18.75" customHeight="1">
      <c r="A5415"/>
    </row>
    <row r="5416" spans="1:1" ht="18.75" customHeight="1">
      <c r="A5416"/>
    </row>
    <row r="5417" spans="1:1" ht="18.75" customHeight="1">
      <c r="A5417"/>
    </row>
    <row r="5418" spans="1:1" ht="18.75" customHeight="1">
      <c r="A5418"/>
    </row>
    <row r="5419" spans="1:1" ht="18.75" customHeight="1">
      <c r="A5419"/>
    </row>
    <row r="5420" spans="1:1" ht="18.75" customHeight="1">
      <c r="A5420"/>
    </row>
    <row r="5421" spans="1:1" ht="18.75" customHeight="1">
      <c r="A5421"/>
    </row>
    <row r="5422" spans="1:1" ht="18.75" customHeight="1">
      <c r="A5422"/>
    </row>
    <row r="5423" spans="1:1" ht="18.75" customHeight="1">
      <c r="A5423"/>
    </row>
    <row r="5424" spans="1:1" ht="18.75" customHeight="1">
      <c r="A5424"/>
    </row>
    <row r="5425" spans="1:1" ht="18.75" customHeight="1">
      <c r="A5425"/>
    </row>
    <row r="5426" spans="1:1" ht="18.75" customHeight="1">
      <c r="A5426"/>
    </row>
    <row r="5427" spans="1:1" ht="18.75" customHeight="1">
      <c r="A5427"/>
    </row>
    <row r="5428" spans="1:1" ht="18.75" customHeight="1">
      <c r="A5428"/>
    </row>
    <row r="5429" spans="1:1" ht="18.75" customHeight="1">
      <c r="A5429"/>
    </row>
    <row r="5430" spans="1:1" ht="18.75" customHeight="1">
      <c r="A5430"/>
    </row>
    <row r="5431" spans="1:1" ht="18.75" customHeight="1">
      <c r="A5431"/>
    </row>
    <row r="5432" spans="1:1" ht="18.75" customHeight="1">
      <c r="A5432"/>
    </row>
    <row r="5433" spans="1:1" ht="18.75" customHeight="1">
      <c r="A5433"/>
    </row>
    <row r="5434" spans="1:1" ht="18.75" customHeight="1">
      <c r="A5434"/>
    </row>
    <row r="5435" spans="1:1" ht="18.75" customHeight="1">
      <c r="A5435"/>
    </row>
    <row r="5436" spans="1:1" ht="18.75" customHeight="1">
      <c r="A5436"/>
    </row>
    <row r="5437" spans="1:1" ht="18.75" customHeight="1">
      <c r="A5437"/>
    </row>
    <row r="5438" spans="1:1" ht="18.75" customHeight="1">
      <c r="A5438"/>
    </row>
    <row r="5439" spans="1:1" ht="18.75" customHeight="1">
      <c r="A5439"/>
    </row>
    <row r="5440" spans="1:1" ht="18.75" customHeight="1">
      <c r="A5440"/>
    </row>
    <row r="5441" spans="1:1" ht="18.75" customHeight="1">
      <c r="A5441"/>
    </row>
    <row r="5442" spans="1:1" ht="18.75" customHeight="1">
      <c r="A5442"/>
    </row>
    <row r="5443" spans="1:1" ht="18.75" customHeight="1">
      <c r="A5443"/>
    </row>
    <row r="5444" spans="1:1" ht="18.75" customHeight="1">
      <c r="A5444"/>
    </row>
    <row r="5445" spans="1:1" ht="18.75" customHeight="1">
      <c r="A5445"/>
    </row>
    <row r="5446" spans="1:1" ht="18.75" customHeight="1">
      <c r="A5446"/>
    </row>
    <row r="5447" spans="1:1" ht="18.75" customHeight="1">
      <c r="A5447"/>
    </row>
    <row r="5448" spans="1:1" ht="18.75" customHeight="1">
      <c r="A5448"/>
    </row>
    <row r="5449" spans="1:1" ht="18.75" customHeight="1">
      <c r="A5449"/>
    </row>
    <row r="5450" spans="1:1" ht="18.75" customHeight="1">
      <c r="A5450"/>
    </row>
    <row r="5451" spans="1:1" ht="18.75" customHeight="1">
      <c r="A5451"/>
    </row>
    <row r="5452" spans="1:1" ht="18.75" customHeight="1">
      <c r="A5452"/>
    </row>
    <row r="5453" spans="1:1" ht="18.75" customHeight="1">
      <c r="A5453"/>
    </row>
    <row r="5454" spans="1:1" ht="18.75" customHeight="1">
      <c r="A5454"/>
    </row>
    <row r="5455" spans="1:1" ht="18.75" customHeight="1">
      <c r="A5455"/>
    </row>
    <row r="5456" spans="1:1" ht="18.75" customHeight="1">
      <c r="A5456"/>
    </row>
    <row r="5457" spans="1:1" ht="18.75" customHeight="1">
      <c r="A5457"/>
    </row>
    <row r="5458" spans="1:1" ht="18.75" customHeight="1">
      <c r="A5458"/>
    </row>
    <row r="5459" spans="1:1" ht="18.75" customHeight="1">
      <c r="A5459"/>
    </row>
    <row r="5460" spans="1:1" ht="18.75" customHeight="1">
      <c r="A5460"/>
    </row>
    <row r="5461" spans="1:1" ht="18.75" customHeight="1">
      <c r="A5461"/>
    </row>
    <row r="5462" spans="1:1" ht="18.75" customHeight="1">
      <c r="A5462"/>
    </row>
    <row r="5463" spans="1:1" ht="18.75" customHeight="1">
      <c r="A5463"/>
    </row>
    <row r="5464" spans="1:1" ht="18.75" customHeight="1">
      <c r="A5464"/>
    </row>
    <row r="5465" spans="1:1" ht="18.75" customHeight="1">
      <c r="A5465"/>
    </row>
    <row r="5466" spans="1:1" ht="18.75" customHeight="1">
      <c r="A5466"/>
    </row>
    <row r="5467" spans="1:1" ht="18.75" customHeight="1">
      <c r="A5467"/>
    </row>
    <row r="5468" spans="1:1" ht="18.75" customHeight="1">
      <c r="A5468"/>
    </row>
    <row r="5469" spans="1:1" ht="18.75" customHeight="1">
      <c r="A5469"/>
    </row>
    <row r="5470" spans="1:1" ht="18.75" customHeight="1">
      <c r="A5470"/>
    </row>
    <row r="5471" spans="1:1" ht="18.75" customHeight="1">
      <c r="A5471"/>
    </row>
    <row r="5472" spans="1:1" ht="18.75" customHeight="1">
      <c r="A5472"/>
    </row>
    <row r="5473" spans="1:1" ht="18.75" customHeight="1">
      <c r="A5473"/>
    </row>
    <row r="5474" spans="1:1" ht="18.75" customHeight="1">
      <c r="A5474"/>
    </row>
    <row r="5475" spans="1:1" ht="18.75" customHeight="1">
      <c r="A5475"/>
    </row>
    <row r="5476" spans="1:1" ht="18.75" customHeight="1">
      <c r="A5476"/>
    </row>
    <row r="5477" spans="1:1" ht="18.75" customHeight="1">
      <c r="A5477"/>
    </row>
    <row r="5478" spans="1:1" ht="18.75" customHeight="1">
      <c r="A5478"/>
    </row>
    <row r="5479" spans="1:1" ht="18.75" customHeight="1">
      <c r="A5479"/>
    </row>
    <row r="5480" spans="1:1" ht="18.75" customHeight="1">
      <c r="A5480"/>
    </row>
    <row r="5481" spans="1:1" ht="18.75" customHeight="1">
      <c r="A5481"/>
    </row>
    <row r="5482" spans="1:1" ht="18.75" customHeight="1">
      <c r="A5482"/>
    </row>
    <row r="5483" spans="1:1" ht="18.75" customHeight="1">
      <c r="A5483"/>
    </row>
    <row r="5484" spans="1:1" ht="18.75" customHeight="1">
      <c r="A5484"/>
    </row>
    <row r="5485" spans="1:1" ht="18.75" customHeight="1">
      <c r="A5485"/>
    </row>
    <row r="5486" spans="1:1" ht="18.75" customHeight="1">
      <c r="A5486"/>
    </row>
    <row r="5487" spans="1:1" ht="18.75" customHeight="1">
      <c r="A5487"/>
    </row>
    <row r="5488" spans="1:1" ht="18.75" customHeight="1">
      <c r="A5488"/>
    </row>
    <row r="5489" spans="1:1" ht="18.75" customHeight="1">
      <c r="A5489"/>
    </row>
    <row r="5490" spans="1:1" ht="18.75" customHeight="1">
      <c r="A5490"/>
    </row>
    <row r="5491" spans="1:1" ht="18.75" customHeight="1">
      <c r="A5491"/>
    </row>
    <row r="5492" spans="1:1" ht="18.75" customHeight="1">
      <c r="A5492"/>
    </row>
    <row r="5493" spans="1:1" ht="18.75" customHeight="1">
      <c r="A5493"/>
    </row>
    <row r="5494" spans="1:1" ht="18.75" customHeight="1">
      <c r="A5494"/>
    </row>
    <row r="5495" spans="1:1" ht="18.75" customHeight="1">
      <c r="A5495"/>
    </row>
    <row r="5496" spans="1:1" ht="18.75" customHeight="1">
      <c r="A5496"/>
    </row>
    <row r="5497" spans="1:1" ht="18.75" customHeight="1">
      <c r="A5497"/>
    </row>
    <row r="5498" spans="1:1" ht="18.75" customHeight="1">
      <c r="A5498"/>
    </row>
    <row r="5499" spans="1:1" ht="18.75" customHeight="1">
      <c r="A5499"/>
    </row>
    <row r="5500" spans="1:1" ht="18.75" customHeight="1">
      <c r="A5500"/>
    </row>
    <row r="5501" spans="1:1" ht="18.75" customHeight="1">
      <c r="A5501"/>
    </row>
    <row r="5502" spans="1:1" ht="18.75" customHeight="1">
      <c r="A5502"/>
    </row>
    <row r="5503" spans="1:1" ht="18.75" customHeight="1">
      <c r="A5503"/>
    </row>
    <row r="5504" spans="1:1" ht="18.75" customHeight="1">
      <c r="A5504"/>
    </row>
    <row r="5505" spans="1:1" ht="18.75" customHeight="1">
      <c r="A5505"/>
    </row>
    <row r="5506" spans="1:1" ht="18.75" customHeight="1">
      <c r="A5506"/>
    </row>
    <row r="5507" spans="1:1" ht="18.75" customHeight="1">
      <c r="A5507"/>
    </row>
    <row r="5508" spans="1:1" ht="18.75" customHeight="1">
      <c r="A5508"/>
    </row>
    <row r="5509" spans="1:1" ht="18.75" customHeight="1">
      <c r="A5509"/>
    </row>
    <row r="5510" spans="1:1" ht="18.75" customHeight="1">
      <c r="A5510"/>
    </row>
    <row r="5511" spans="1:1" ht="18.75" customHeight="1">
      <c r="A5511"/>
    </row>
    <row r="5512" spans="1:1" ht="18.75" customHeight="1">
      <c r="A5512"/>
    </row>
    <row r="5513" spans="1:1" ht="18.75" customHeight="1">
      <c r="A5513"/>
    </row>
    <row r="5514" spans="1:1" ht="18.75" customHeight="1">
      <c r="A5514"/>
    </row>
    <row r="5515" spans="1:1" ht="18.75" customHeight="1">
      <c r="A5515"/>
    </row>
    <row r="5516" spans="1:1" ht="18.75" customHeight="1">
      <c r="A5516"/>
    </row>
    <row r="5517" spans="1:1" ht="18.75" customHeight="1">
      <c r="A5517"/>
    </row>
    <row r="5518" spans="1:1" ht="18.75" customHeight="1">
      <c r="A5518"/>
    </row>
    <row r="5519" spans="1:1" ht="18.75" customHeight="1">
      <c r="A5519"/>
    </row>
    <row r="5520" spans="1:1" ht="18.75" customHeight="1">
      <c r="A5520"/>
    </row>
    <row r="5521" spans="1:1" ht="18.75" customHeight="1">
      <c r="A5521"/>
    </row>
    <row r="5522" spans="1:1" ht="18.75" customHeight="1">
      <c r="A5522"/>
    </row>
    <row r="5523" spans="1:1" ht="18.75" customHeight="1">
      <c r="A5523"/>
    </row>
    <row r="5524" spans="1:1" ht="18.75" customHeight="1">
      <c r="A5524"/>
    </row>
    <row r="5525" spans="1:1" ht="18.75" customHeight="1">
      <c r="A5525"/>
    </row>
    <row r="5526" spans="1:1" ht="18.75" customHeight="1">
      <c r="A5526"/>
    </row>
    <row r="5527" spans="1:1" ht="18.75" customHeight="1">
      <c r="A5527"/>
    </row>
    <row r="5528" spans="1:1" ht="18.75" customHeight="1">
      <c r="A5528"/>
    </row>
    <row r="5529" spans="1:1" ht="18.75" customHeight="1">
      <c r="A5529"/>
    </row>
    <row r="5530" spans="1:1" ht="18.75" customHeight="1">
      <c r="A5530"/>
    </row>
    <row r="5531" spans="1:1" ht="18.75" customHeight="1">
      <c r="A5531"/>
    </row>
    <row r="5532" spans="1:1" ht="18.75" customHeight="1">
      <c r="A5532"/>
    </row>
    <row r="5533" spans="1:1" ht="18.75" customHeight="1">
      <c r="A5533"/>
    </row>
    <row r="5534" spans="1:1" ht="18.75" customHeight="1">
      <c r="A5534"/>
    </row>
    <row r="5535" spans="1:1" ht="18.75" customHeight="1">
      <c r="A5535"/>
    </row>
    <row r="5536" spans="1:1" ht="18.75" customHeight="1">
      <c r="A5536"/>
    </row>
    <row r="5537" spans="1:1" ht="18.75" customHeight="1">
      <c r="A5537"/>
    </row>
    <row r="5538" spans="1:1" ht="18.75" customHeight="1">
      <c r="A5538"/>
    </row>
    <row r="5539" spans="1:1" ht="18.75" customHeight="1">
      <c r="A5539"/>
    </row>
    <row r="5540" spans="1:1" ht="18.75" customHeight="1">
      <c r="A5540"/>
    </row>
    <row r="5541" spans="1:1" ht="18.75" customHeight="1">
      <c r="A5541"/>
    </row>
    <row r="5542" spans="1:1" ht="18.75" customHeight="1">
      <c r="A5542"/>
    </row>
    <row r="5543" spans="1:1" ht="18.75" customHeight="1">
      <c r="A5543"/>
    </row>
    <row r="5544" spans="1:1" ht="18.75" customHeight="1">
      <c r="A5544"/>
    </row>
    <row r="5545" spans="1:1" ht="18.75" customHeight="1">
      <c r="A5545"/>
    </row>
    <row r="5546" spans="1:1" ht="18.75" customHeight="1">
      <c r="A5546"/>
    </row>
    <row r="5547" spans="1:1" ht="18.75" customHeight="1">
      <c r="A5547"/>
    </row>
    <row r="5548" spans="1:1" ht="18.75" customHeight="1">
      <c r="A5548"/>
    </row>
    <row r="5549" spans="1:1" ht="18.75" customHeight="1">
      <c r="A5549"/>
    </row>
    <row r="5550" spans="1:1" ht="18.75" customHeight="1">
      <c r="A5550"/>
    </row>
    <row r="5551" spans="1:1" ht="18.75" customHeight="1">
      <c r="A5551"/>
    </row>
    <row r="5552" spans="1:1" ht="18.75" customHeight="1">
      <c r="A5552"/>
    </row>
    <row r="5553" spans="1:1" ht="18.75" customHeight="1">
      <c r="A5553"/>
    </row>
    <row r="5554" spans="1:1" ht="18.75" customHeight="1">
      <c r="A5554"/>
    </row>
    <row r="5555" spans="1:1" ht="18.75" customHeight="1">
      <c r="A5555"/>
    </row>
    <row r="5556" spans="1:1" ht="18.75" customHeight="1">
      <c r="A5556"/>
    </row>
    <row r="5557" spans="1:1" ht="18.75" customHeight="1">
      <c r="A5557"/>
    </row>
    <row r="5558" spans="1:1" ht="18.75" customHeight="1">
      <c r="A5558"/>
    </row>
    <row r="5559" spans="1:1" ht="18.75" customHeight="1">
      <c r="A5559"/>
    </row>
    <row r="5560" spans="1:1" ht="18.75" customHeight="1">
      <c r="A5560"/>
    </row>
    <row r="5561" spans="1:1" ht="18.75" customHeight="1">
      <c r="A5561"/>
    </row>
    <row r="5562" spans="1:1" ht="18.75" customHeight="1">
      <c r="A5562"/>
    </row>
    <row r="5563" spans="1:1" ht="18.75" customHeight="1">
      <c r="A5563"/>
    </row>
    <row r="5564" spans="1:1" ht="18.75" customHeight="1">
      <c r="A5564"/>
    </row>
    <row r="5565" spans="1:1" ht="18.75" customHeight="1">
      <c r="A5565"/>
    </row>
    <row r="5566" spans="1:1" ht="18.75" customHeight="1">
      <c r="A5566"/>
    </row>
    <row r="5567" spans="1:1" ht="18.75" customHeight="1">
      <c r="A5567"/>
    </row>
    <row r="5568" spans="1:1" ht="18.75" customHeight="1">
      <c r="A5568"/>
    </row>
    <row r="5569" spans="1:1" ht="18.75" customHeight="1">
      <c r="A5569"/>
    </row>
    <row r="5570" spans="1:1" ht="18.75" customHeight="1">
      <c r="A5570"/>
    </row>
    <row r="5571" spans="1:1" ht="18.75" customHeight="1">
      <c r="A5571"/>
    </row>
    <row r="5572" spans="1:1" ht="18.75" customHeight="1">
      <c r="A5572"/>
    </row>
    <row r="5573" spans="1:1" ht="18.75" customHeight="1">
      <c r="A5573"/>
    </row>
    <row r="5574" spans="1:1" ht="18.75" customHeight="1">
      <c r="A5574"/>
    </row>
    <row r="5575" spans="1:1" ht="18.75" customHeight="1">
      <c r="A5575"/>
    </row>
    <row r="5576" spans="1:1" ht="18.75" customHeight="1">
      <c r="A5576"/>
    </row>
    <row r="5577" spans="1:1" ht="18.75" customHeight="1">
      <c r="A5577"/>
    </row>
    <row r="5578" spans="1:1" ht="18.75" customHeight="1">
      <c r="A5578"/>
    </row>
    <row r="5579" spans="1:1" ht="18.75" customHeight="1">
      <c r="A5579"/>
    </row>
    <row r="5580" spans="1:1" ht="18.75" customHeight="1">
      <c r="A5580"/>
    </row>
    <row r="5581" spans="1:1" ht="18.75" customHeight="1">
      <c r="A5581"/>
    </row>
    <row r="5582" spans="1:1" ht="18.75" customHeight="1">
      <c r="A5582"/>
    </row>
    <row r="5583" spans="1:1" ht="18.75" customHeight="1">
      <c r="A5583"/>
    </row>
    <row r="5584" spans="1:1" ht="18.75" customHeight="1">
      <c r="A5584"/>
    </row>
    <row r="5585" spans="1:1" ht="18.75" customHeight="1">
      <c r="A5585"/>
    </row>
    <row r="5586" spans="1:1" ht="18.75" customHeight="1">
      <c r="A5586"/>
    </row>
    <row r="5587" spans="1:1" ht="18.75" customHeight="1">
      <c r="A5587"/>
    </row>
    <row r="5588" spans="1:1" ht="18.75" customHeight="1">
      <c r="A5588"/>
    </row>
    <row r="5589" spans="1:1" ht="18.75" customHeight="1">
      <c r="A5589"/>
    </row>
    <row r="5590" spans="1:1" ht="18.75" customHeight="1">
      <c r="A5590"/>
    </row>
    <row r="5591" spans="1:1" ht="18.75" customHeight="1">
      <c r="A5591"/>
    </row>
    <row r="5592" spans="1:1" ht="18.75" customHeight="1">
      <c r="A5592"/>
    </row>
    <row r="5593" spans="1:1" ht="18.75" customHeight="1">
      <c r="A5593"/>
    </row>
    <row r="5594" spans="1:1" ht="18.75" customHeight="1">
      <c r="A5594"/>
    </row>
    <row r="5595" spans="1:1" ht="18.75" customHeight="1">
      <c r="A5595"/>
    </row>
    <row r="5596" spans="1:1" ht="18.75" customHeight="1">
      <c r="A5596"/>
    </row>
    <row r="5597" spans="1:1" ht="18.75" customHeight="1">
      <c r="A5597"/>
    </row>
    <row r="5598" spans="1:1" ht="18.75" customHeight="1">
      <c r="A5598"/>
    </row>
    <row r="5599" spans="1:1" ht="18.75" customHeight="1">
      <c r="A5599"/>
    </row>
    <row r="5600" spans="1:1" ht="18.75" customHeight="1">
      <c r="A5600"/>
    </row>
    <row r="5601" spans="1:1" ht="18.75" customHeight="1">
      <c r="A5601"/>
    </row>
    <row r="5602" spans="1:1" ht="18.75" customHeight="1">
      <c r="A5602"/>
    </row>
    <row r="5603" spans="1:1" ht="18.75" customHeight="1">
      <c r="A5603"/>
    </row>
    <row r="5604" spans="1:1" ht="18.75" customHeight="1">
      <c r="A5604"/>
    </row>
    <row r="5605" spans="1:1" ht="18.75" customHeight="1">
      <c r="A5605"/>
    </row>
    <row r="5606" spans="1:1" ht="18.75" customHeight="1">
      <c r="A5606"/>
    </row>
    <row r="5607" spans="1:1" ht="18.75" customHeight="1">
      <c r="A5607"/>
    </row>
    <row r="5608" spans="1:1" ht="18.75" customHeight="1">
      <c r="A5608"/>
    </row>
    <row r="5609" spans="1:1" ht="18.75" customHeight="1">
      <c r="A5609"/>
    </row>
    <row r="5610" spans="1:1" ht="18.75" customHeight="1">
      <c r="A5610"/>
    </row>
    <row r="5611" spans="1:1" ht="18.75" customHeight="1">
      <c r="A5611"/>
    </row>
    <row r="5612" spans="1:1" ht="18.75" customHeight="1">
      <c r="A5612"/>
    </row>
    <row r="5613" spans="1:1" ht="18.75" customHeight="1">
      <c r="A5613"/>
    </row>
    <row r="5614" spans="1:1" ht="18.75" customHeight="1">
      <c r="A5614"/>
    </row>
    <row r="5615" spans="1:1" ht="18.75" customHeight="1">
      <c r="A5615"/>
    </row>
    <row r="5616" spans="1:1" ht="18.75" customHeight="1">
      <c r="A5616"/>
    </row>
    <row r="5617" spans="1:1" ht="18.75" customHeight="1">
      <c r="A5617"/>
    </row>
    <row r="5618" spans="1:1" ht="18.75" customHeight="1">
      <c r="A5618"/>
    </row>
    <row r="5619" spans="1:1" ht="18.75" customHeight="1">
      <c r="A5619"/>
    </row>
    <row r="5620" spans="1:1" ht="18.75" customHeight="1">
      <c r="A5620"/>
    </row>
    <row r="5621" spans="1:1" ht="18.75" customHeight="1">
      <c r="A5621"/>
    </row>
    <row r="5622" spans="1:1" ht="18.75" customHeight="1">
      <c r="A5622"/>
    </row>
    <row r="5623" spans="1:1" ht="18.75" customHeight="1">
      <c r="A5623"/>
    </row>
    <row r="5624" spans="1:1" ht="18.75" customHeight="1">
      <c r="A5624"/>
    </row>
    <row r="5625" spans="1:1" ht="18.75" customHeight="1">
      <c r="A5625"/>
    </row>
    <row r="5626" spans="1:1" ht="18.75" customHeight="1">
      <c r="A5626"/>
    </row>
    <row r="5627" spans="1:1" ht="18.75" customHeight="1">
      <c r="A5627"/>
    </row>
    <row r="5628" spans="1:1" ht="18.75" customHeight="1">
      <c r="A5628"/>
    </row>
    <row r="5629" spans="1:1" ht="18.75" customHeight="1">
      <c r="A5629"/>
    </row>
    <row r="5630" spans="1:1" ht="18.75" customHeight="1">
      <c r="A5630"/>
    </row>
    <row r="5631" spans="1:1" ht="18.75" customHeight="1">
      <c r="A5631"/>
    </row>
    <row r="5632" spans="1:1" ht="18.75" customHeight="1">
      <c r="A5632"/>
    </row>
    <row r="5633" spans="1:1" ht="18.75" customHeight="1">
      <c r="A5633"/>
    </row>
    <row r="5634" spans="1:1" ht="18.75" customHeight="1">
      <c r="A5634"/>
    </row>
    <row r="5635" spans="1:1" ht="18.75" customHeight="1">
      <c r="A5635"/>
    </row>
    <row r="5636" spans="1:1" ht="18.75" customHeight="1">
      <c r="A5636"/>
    </row>
    <row r="5637" spans="1:1" ht="18.75" customHeight="1">
      <c r="A5637"/>
    </row>
    <row r="5638" spans="1:1" ht="18.75" customHeight="1">
      <c r="A5638"/>
    </row>
    <row r="5639" spans="1:1" ht="18.75" customHeight="1">
      <c r="A5639"/>
    </row>
    <row r="5640" spans="1:1" ht="18.75" customHeight="1">
      <c r="A5640"/>
    </row>
    <row r="5641" spans="1:1" ht="18.75" customHeight="1">
      <c r="A5641"/>
    </row>
    <row r="5642" spans="1:1" ht="18.75" customHeight="1">
      <c r="A5642"/>
    </row>
    <row r="5643" spans="1:1" ht="18.75" customHeight="1">
      <c r="A5643"/>
    </row>
    <row r="5644" spans="1:1" ht="18.75" customHeight="1">
      <c r="A5644"/>
    </row>
    <row r="5645" spans="1:1" ht="18.75" customHeight="1">
      <c r="A5645"/>
    </row>
    <row r="5646" spans="1:1" ht="18.75" customHeight="1">
      <c r="A5646"/>
    </row>
    <row r="5647" spans="1:1" ht="18.75" customHeight="1">
      <c r="A5647"/>
    </row>
    <row r="5648" spans="1:1" ht="18.75" customHeight="1">
      <c r="A5648"/>
    </row>
    <row r="5649" spans="1:1" ht="18.75" customHeight="1">
      <c r="A5649"/>
    </row>
    <row r="5650" spans="1:1" ht="18.75" customHeight="1">
      <c r="A5650"/>
    </row>
    <row r="5651" spans="1:1" ht="18.75" customHeight="1">
      <c r="A5651"/>
    </row>
    <row r="5652" spans="1:1" ht="18.75" customHeight="1">
      <c r="A5652"/>
    </row>
    <row r="5653" spans="1:1" ht="18.75" customHeight="1">
      <c r="A5653"/>
    </row>
    <row r="5654" spans="1:1" ht="18.75" customHeight="1">
      <c r="A5654"/>
    </row>
    <row r="5655" spans="1:1" ht="18.75" customHeight="1">
      <c r="A5655"/>
    </row>
    <row r="5656" spans="1:1" ht="18.75" customHeight="1">
      <c r="A5656"/>
    </row>
    <row r="5657" spans="1:1" ht="18.75" customHeight="1">
      <c r="A5657"/>
    </row>
    <row r="5658" spans="1:1" ht="18.75" customHeight="1">
      <c r="A5658"/>
    </row>
    <row r="5659" spans="1:1" ht="18.75" customHeight="1">
      <c r="A5659"/>
    </row>
    <row r="5660" spans="1:1" ht="18.75" customHeight="1">
      <c r="A5660"/>
    </row>
    <row r="5661" spans="1:1" ht="18.75" customHeight="1">
      <c r="A5661"/>
    </row>
    <row r="5662" spans="1:1" ht="18.75" customHeight="1">
      <c r="A5662"/>
    </row>
    <row r="5663" spans="1:1" ht="18.75" customHeight="1">
      <c r="A5663"/>
    </row>
    <row r="5664" spans="1:1" ht="18.75" customHeight="1">
      <c r="A5664"/>
    </row>
    <row r="5665" spans="1:1" ht="18.75" customHeight="1">
      <c r="A5665"/>
    </row>
    <row r="5666" spans="1:1" ht="18.75" customHeight="1">
      <c r="A5666"/>
    </row>
    <row r="5667" spans="1:1" ht="18.75" customHeight="1">
      <c r="A5667"/>
    </row>
    <row r="5668" spans="1:1" ht="18.75" customHeight="1">
      <c r="A5668"/>
    </row>
    <row r="5669" spans="1:1" ht="18.75" customHeight="1">
      <c r="A5669"/>
    </row>
    <row r="5670" spans="1:1" ht="18.75" customHeight="1">
      <c r="A5670"/>
    </row>
    <row r="5671" spans="1:1" ht="18.75" customHeight="1">
      <c r="A5671"/>
    </row>
    <row r="5672" spans="1:1" ht="18.75" customHeight="1">
      <c r="A5672"/>
    </row>
    <row r="5673" spans="1:1" ht="18.75" customHeight="1">
      <c r="A5673"/>
    </row>
    <row r="5674" spans="1:1" ht="18.75" customHeight="1">
      <c r="A5674"/>
    </row>
    <row r="5675" spans="1:1" ht="18.75" customHeight="1">
      <c r="A5675"/>
    </row>
    <row r="5676" spans="1:1" ht="18.75" customHeight="1">
      <c r="A5676"/>
    </row>
    <row r="5677" spans="1:1" ht="18.75" customHeight="1">
      <c r="A5677"/>
    </row>
    <row r="5678" spans="1:1" ht="18.75" customHeight="1">
      <c r="A5678"/>
    </row>
    <row r="5679" spans="1:1" ht="18.75" customHeight="1">
      <c r="A5679"/>
    </row>
    <row r="5680" spans="1:1" ht="18.75" customHeight="1">
      <c r="A5680"/>
    </row>
    <row r="5681" spans="1:1" ht="18.75" customHeight="1">
      <c r="A5681"/>
    </row>
    <row r="5682" spans="1:1" ht="18.75" customHeight="1">
      <c r="A5682"/>
    </row>
    <row r="5683" spans="1:1" ht="18.75" customHeight="1">
      <c r="A5683"/>
    </row>
    <row r="5684" spans="1:1" ht="18.75" customHeight="1">
      <c r="A5684"/>
    </row>
    <row r="5685" spans="1:1" ht="18.75" customHeight="1">
      <c r="A5685"/>
    </row>
    <row r="5686" spans="1:1" ht="18.75" customHeight="1">
      <c r="A5686"/>
    </row>
    <row r="5687" spans="1:1" ht="18.75" customHeight="1">
      <c r="A5687"/>
    </row>
    <row r="5688" spans="1:1" ht="18.75" customHeight="1">
      <c r="A5688"/>
    </row>
    <row r="5689" spans="1:1" ht="18.75" customHeight="1">
      <c r="A5689"/>
    </row>
    <row r="5690" spans="1:1" ht="18.75" customHeight="1">
      <c r="A5690"/>
    </row>
    <row r="5691" spans="1:1" ht="18.75" customHeight="1">
      <c r="A5691"/>
    </row>
    <row r="5692" spans="1:1" ht="18.75" customHeight="1">
      <c r="A5692"/>
    </row>
    <row r="5693" spans="1:1" ht="18.75" customHeight="1">
      <c r="A5693"/>
    </row>
    <row r="5694" spans="1:1" ht="18.75" customHeight="1">
      <c r="A5694"/>
    </row>
    <row r="5695" spans="1:1" ht="18.75" customHeight="1">
      <c r="A5695"/>
    </row>
    <row r="5696" spans="1:1" ht="18.75" customHeight="1">
      <c r="A5696"/>
    </row>
    <row r="5697" spans="1:1" ht="18.75" customHeight="1">
      <c r="A5697"/>
    </row>
    <row r="5698" spans="1:1" ht="18.75" customHeight="1">
      <c r="A5698"/>
    </row>
    <row r="5699" spans="1:1" ht="18.75" customHeight="1">
      <c r="A5699"/>
    </row>
    <row r="5700" spans="1:1" ht="18.75" customHeight="1">
      <c r="A5700"/>
    </row>
    <row r="5701" spans="1:1" ht="18.75" customHeight="1">
      <c r="A5701"/>
    </row>
    <row r="5702" spans="1:1" ht="18.75" customHeight="1">
      <c r="A5702"/>
    </row>
    <row r="5703" spans="1:1" ht="18.75" customHeight="1">
      <c r="A5703"/>
    </row>
    <row r="5704" spans="1:1" ht="18.75" customHeight="1">
      <c r="A5704"/>
    </row>
    <row r="5705" spans="1:1" ht="18.75" customHeight="1">
      <c r="A5705"/>
    </row>
    <row r="5706" spans="1:1" ht="18.75" customHeight="1">
      <c r="A5706"/>
    </row>
    <row r="5707" spans="1:1" ht="18.75" customHeight="1">
      <c r="A5707"/>
    </row>
    <row r="5708" spans="1:1" ht="18.75" customHeight="1">
      <c r="A5708"/>
    </row>
    <row r="5709" spans="1:1" ht="18.75" customHeight="1">
      <c r="A5709"/>
    </row>
    <row r="5710" spans="1:1" ht="18.75" customHeight="1">
      <c r="A5710"/>
    </row>
    <row r="5711" spans="1:1" ht="18.75" customHeight="1">
      <c r="A5711"/>
    </row>
    <row r="5712" spans="1:1" ht="18.75" customHeight="1">
      <c r="A5712"/>
    </row>
    <row r="5713" spans="1:1" ht="18.75" customHeight="1">
      <c r="A5713"/>
    </row>
    <row r="5714" spans="1:1" ht="18.75" customHeight="1">
      <c r="A5714"/>
    </row>
    <row r="5715" spans="1:1" ht="18.75" customHeight="1">
      <c r="A5715"/>
    </row>
    <row r="5716" spans="1:1" ht="18.75" customHeight="1">
      <c r="A5716"/>
    </row>
    <row r="5717" spans="1:1" ht="18.75" customHeight="1">
      <c r="A5717"/>
    </row>
    <row r="5718" spans="1:1" ht="18.75" customHeight="1">
      <c r="A5718"/>
    </row>
    <row r="5719" spans="1:1" ht="18.75" customHeight="1">
      <c r="A5719"/>
    </row>
    <row r="5720" spans="1:1" ht="18.75" customHeight="1">
      <c r="A5720"/>
    </row>
    <row r="5721" spans="1:1" ht="18.75" customHeight="1">
      <c r="A5721"/>
    </row>
    <row r="5722" spans="1:1" ht="18.75" customHeight="1">
      <c r="A5722"/>
    </row>
    <row r="5723" spans="1:1" ht="18.75" customHeight="1">
      <c r="A5723"/>
    </row>
    <row r="5724" spans="1:1" ht="18.75" customHeight="1">
      <c r="A5724"/>
    </row>
    <row r="5725" spans="1:1" ht="18.75" customHeight="1">
      <c r="A5725"/>
    </row>
    <row r="5726" spans="1:1" ht="18.75" customHeight="1">
      <c r="A5726"/>
    </row>
    <row r="5727" spans="1:1" ht="18.75" customHeight="1">
      <c r="A5727"/>
    </row>
    <row r="5728" spans="1:1" ht="18.75" customHeight="1">
      <c r="A5728"/>
    </row>
    <row r="5729" spans="1:1" ht="18.75" customHeight="1">
      <c r="A5729"/>
    </row>
    <row r="5730" spans="1:1" ht="18.75" customHeight="1">
      <c r="A5730"/>
    </row>
    <row r="5731" spans="1:1" ht="18.75" customHeight="1">
      <c r="A5731"/>
    </row>
    <row r="5732" spans="1:1" ht="18.75" customHeight="1">
      <c r="A5732"/>
    </row>
    <row r="5733" spans="1:1" ht="18.75" customHeight="1">
      <c r="A5733"/>
    </row>
    <row r="5734" spans="1:1" ht="18.75" customHeight="1">
      <c r="A5734"/>
    </row>
    <row r="5735" spans="1:1" ht="18.75" customHeight="1">
      <c r="A5735"/>
    </row>
    <row r="5736" spans="1:1" ht="18.75" customHeight="1">
      <c r="A5736"/>
    </row>
    <row r="5737" spans="1:1" ht="18.75" customHeight="1">
      <c r="A5737"/>
    </row>
    <row r="5738" spans="1:1" ht="18.75" customHeight="1">
      <c r="A5738"/>
    </row>
    <row r="5739" spans="1:1" ht="18.75" customHeight="1">
      <c r="A5739"/>
    </row>
    <row r="5740" spans="1:1" ht="18.75" customHeight="1">
      <c r="A5740"/>
    </row>
    <row r="5741" spans="1:1" ht="18.75" customHeight="1">
      <c r="A5741"/>
    </row>
    <row r="5742" spans="1:1" ht="18.75" customHeight="1">
      <c r="A5742"/>
    </row>
    <row r="5743" spans="1:1" ht="18.75" customHeight="1">
      <c r="A5743"/>
    </row>
    <row r="5744" spans="1:1" ht="18.75" customHeight="1">
      <c r="A5744"/>
    </row>
    <row r="5745" spans="1:1" ht="18.75" customHeight="1">
      <c r="A5745"/>
    </row>
    <row r="5746" spans="1:1" ht="18.75" customHeight="1">
      <c r="A5746"/>
    </row>
    <row r="5747" spans="1:1" ht="18.75" customHeight="1">
      <c r="A5747"/>
    </row>
    <row r="5748" spans="1:1" ht="18.75" customHeight="1">
      <c r="A5748"/>
    </row>
    <row r="5749" spans="1:1" ht="18.75" customHeight="1">
      <c r="A5749"/>
    </row>
    <row r="5750" spans="1:1" ht="18.75" customHeight="1">
      <c r="A5750"/>
    </row>
    <row r="5751" spans="1:1" ht="18.75" customHeight="1">
      <c r="A5751"/>
    </row>
    <row r="5752" spans="1:1" ht="18.75" customHeight="1">
      <c r="A5752"/>
    </row>
    <row r="5753" spans="1:1" ht="18.75" customHeight="1">
      <c r="A5753"/>
    </row>
    <row r="5754" spans="1:1" ht="18.75" customHeight="1">
      <c r="A5754"/>
    </row>
    <row r="5755" spans="1:1" ht="18.75" customHeight="1">
      <c r="A5755"/>
    </row>
    <row r="5756" spans="1:1" ht="18.75" customHeight="1">
      <c r="A5756"/>
    </row>
    <row r="5757" spans="1:1" ht="18.75" customHeight="1">
      <c r="A5757"/>
    </row>
    <row r="5758" spans="1:1" ht="18.75" customHeight="1">
      <c r="A5758"/>
    </row>
    <row r="5759" spans="1:1" ht="18.75" customHeight="1">
      <c r="A5759"/>
    </row>
    <row r="5760" spans="1:1" ht="18.75" customHeight="1">
      <c r="A5760"/>
    </row>
    <row r="5761" spans="1:1" ht="18.75" customHeight="1">
      <c r="A5761"/>
    </row>
    <row r="5762" spans="1:1" ht="18.75" customHeight="1">
      <c r="A5762"/>
    </row>
    <row r="5763" spans="1:1" ht="18.75" customHeight="1">
      <c r="A5763"/>
    </row>
    <row r="5764" spans="1:1" ht="18.75" customHeight="1">
      <c r="A5764"/>
    </row>
    <row r="5765" spans="1:1" ht="18.75" customHeight="1">
      <c r="A5765"/>
    </row>
    <row r="5766" spans="1:1" ht="18.75" customHeight="1">
      <c r="A5766"/>
    </row>
    <row r="5767" spans="1:1" ht="18.75" customHeight="1">
      <c r="A5767"/>
    </row>
    <row r="5768" spans="1:1" ht="18.75" customHeight="1">
      <c r="A5768"/>
    </row>
    <row r="5769" spans="1:1" ht="18.75" customHeight="1">
      <c r="A5769"/>
    </row>
    <row r="5770" spans="1:1" ht="18.75" customHeight="1">
      <c r="A5770"/>
    </row>
    <row r="5771" spans="1:1" ht="18.75" customHeight="1">
      <c r="A5771"/>
    </row>
    <row r="5772" spans="1:1" ht="18.75" customHeight="1">
      <c r="A5772"/>
    </row>
    <row r="5773" spans="1:1" ht="18.75" customHeight="1">
      <c r="A5773"/>
    </row>
    <row r="5774" spans="1:1" ht="18.75" customHeight="1">
      <c r="A5774"/>
    </row>
    <row r="5775" spans="1:1" ht="18.75" customHeight="1">
      <c r="A5775"/>
    </row>
    <row r="5776" spans="1:1" ht="18.75" customHeight="1">
      <c r="A5776"/>
    </row>
    <row r="5777" spans="1:1" ht="18.75" customHeight="1">
      <c r="A5777"/>
    </row>
    <row r="5778" spans="1:1" ht="18.75" customHeight="1">
      <c r="A5778"/>
    </row>
    <row r="5779" spans="1:1" ht="18.75" customHeight="1">
      <c r="A5779"/>
    </row>
    <row r="5780" spans="1:1" ht="18.75" customHeight="1">
      <c r="A5780"/>
    </row>
    <row r="5781" spans="1:1" ht="18.75" customHeight="1">
      <c r="A5781"/>
    </row>
    <row r="5782" spans="1:1" ht="18.75" customHeight="1">
      <c r="A5782"/>
    </row>
    <row r="5783" spans="1:1" ht="18.75" customHeight="1">
      <c r="A5783"/>
    </row>
    <row r="5784" spans="1:1" ht="18.75" customHeight="1">
      <c r="A5784"/>
    </row>
    <row r="5785" spans="1:1" ht="18.75" customHeight="1">
      <c r="A5785"/>
    </row>
    <row r="5786" spans="1:1" ht="18.75" customHeight="1">
      <c r="A5786"/>
    </row>
    <row r="5787" spans="1:1" ht="18.75" customHeight="1">
      <c r="A5787"/>
    </row>
    <row r="5788" spans="1:1" ht="18.75" customHeight="1">
      <c r="A5788"/>
    </row>
    <row r="5789" spans="1:1" ht="18.75" customHeight="1">
      <c r="A5789"/>
    </row>
    <row r="5790" spans="1:1" ht="18.75" customHeight="1">
      <c r="A5790"/>
    </row>
    <row r="5791" spans="1:1" ht="18.75" customHeight="1">
      <c r="A5791"/>
    </row>
    <row r="5792" spans="1:1" ht="18.75" customHeight="1">
      <c r="A5792"/>
    </row>
    <row r="5793" spans="1:1" ht="18.75" customHeight="1">
      <c r="A5793"/>
    </row>
    <row r="5794" spans="1:1" ht="18.75" customHeight="1">
      <c r="A5794"/>
    </row>
    <row r="5795" spans="1:1" ht="18.75" customHeight="1">
      <c r="A5795"/>
    </row>
    <row r="5796" spans="1:1" ht="18.75" customHeight="1">
      <c r="A5796"/>
    </row>
    <row r="5797" spans="1:1" ht="18.75" customHeight="1">
      <c r="A5797"/>
    </row>
    <row r="5798" spans="1:1" ht="18.75" customHeight="1">
      <c r="A5798"/>
    </row>
    <row r="5799" spans="1:1" ht="18.75" customHeight="1">
      <c r="A5799"/>
    </row>
    <row r="5800" spans="1:1" ht="18.75" customHeight="1">
      <c r="A5800"/>
    </row>
    <row r="5801" spans="1:1" ht="18.75" customHeight="1">
      <c r="A5801"/>
    </row>
    <row r="5802" spans="1:1" ht="18.75" customHeight="1">
      <c r="A5802"/>
    </row>
    <row r="5803" spans="1:1" ht="18.75" customHeight="1">
      <c r="A5803"/>
    </row>
    <row r="5804" spans="1:1" ht="18.75" customHeight="1">
      <c r="A5804"/>
    </row>
    <row r="5805" spans="1:1" ht="18.75" customHeight="1">
      <c r="A5805"/>
    </row>
    <row r="5806" spans="1:1" ht="18.75" customHeight="1">
      <c r="A5806"/>
    </row>
    <row r="5807" spans="1:1" ht="18.75" customHeight="1">
      <c r="A5807"/>
    </row>
    <row r="5808" spans="1:1" ht="18.75" customHeight="1">
      <c r="A5808"/>
    </row>
    <row r="5809" spans="1:1" ht="18.75" customHeight="1">
      <c r="A5809"/>
    </row>
    <row r="5810" spans="1:1" ht="18.75" customHeight="1">
      <c r="A5810"/>
    </row>
    <row r="5811" spans="1:1" ht="18.75" customHeight="1">
      <c r="A5811"/>
    </row>
    <row r="5812" spans="1:1" ht="18.75" customHeight="1">
      <c r="A5812"/>
    </row>
    <row r="5813" spans="1:1" ht="18.75" customHeight="1">
      <c r="A5813"/>
    </row>
    <row r="5814" spans="1:1" ht="18.75" customHeight="1">
      <c r="A5814"/>
    </row>
    <row r="5815" spans="1:1" ht="18.75" customHeight="1">
      <c r="A5815"/>
    </row>
    <row r="5816" spans="1:1" ht="18.75" customHeight="1">
      <c r="A5816"/>
    </row>
    <row r="5817" spans="1:1" ht="18.75" customHeight="1">
      <c r="A5817"/>
    </row>
    <row r="5818" spans="1:1" ht="18.75" customHeight="1">
      <c r="A5818"/>
    </row>
    <row r="5819" spans="1:1" ht="18.75" customHeight="1">
      <c r="A5819"/>
    </row>
    <row r="5820" spans="1:1" ht="18.75" customHeight="1">
      <c r="A5820"/>
    </row>
    <row r="5821" spans="1:1" ht="18.75" customHeight="1">
      <c r="A5821"/>
    </row>
    <row r="5822" spans="1:1" ht="18.75" customHeight="1">
      <c r="A5822"/>
    </row>
    <row r="5823" spans="1:1" ht="18.75" customHeight="1">
      <c r="A5823"/>
    </row>
    <row r="5824" spans="1:1" ht="18.75" customHeight="1">
      <c r="A5824"/>
    </row>
    <row r="5825" spans="1:1" ht="18.75" customHeight="1">
      <c r="A5825"/>
    </row>
    <row r="5826" spans="1:1" ht="18.75" customHeight="1">
      <c r="A5826"/>
    </row>
    <row r="5827" spans="1:1" ht="18.75" customHeight="1">
      <c r="A5827"/>
    </row>
    <row r="5828" spans="1:1" ht="18.75" customHeight="1">
      <c r="A5828"/>
    </row>
    <row r="5829" spans="1:1" ht="18.75" customHeight="1">
      <c r="A5829"/>
    </row>
    <row r="5830" spans="1:1" ht="18.75" customHeight="1">
      <c r="A5830"/>
    </row>
    <row r="5831" spans="1:1" ht="18.75" customHeight="1">
      <c r="A5831"/>
    </row>
    <row r="5832" spans="1:1" ht="18.75" customHeight="1">
      <c r="A5832"/>
    </row>
    <row r="5833" spans="1:1" ht="18.75" customHeight="1">
      <c r="A5833"/>
    </row>
    <row r="5834" spans="1:1" ht="18.75" customHeight="1">
      <c r="A5834"/>
    </row>
    <row r="5835" spans="1:1" ht="18.75" customHeight="1">
      <c r="A5835"/>
    </row>
    <row r="5836" spans="1:1" ht="18.75" customHeight="1">
      <c r="A5836"/>
    </row>
    <row r="5837" spans="1:1" ht="18.75" customHeight="1">
      <c r="A5837"/>
    </row>
    <row r="5838" spans="1:1" ht="18.75" customHeight="1">
      <c r="A5838"/>
    </row>
    <row r="5839" spans="1:1" ht="18.75" customHeight="1">
      <c r="A5839"/>
    </row>
    <row r="5840" spans="1:1" ht="18.75" customHeight="1">
      <c r="A5840"/>
    </row>
    <row r="5841" spans="1:1" ht="18.75" customHeight="1">
      <c r="A5841"/>
    </row>
    <row r="5842" spans="1:1" ht="18.75" customHeight="1">
      <c r="A5842"/>
    </row>
    <row r="5843" spans="1:1" ht="18.75" customHeight="1">
      <c r="A5843"/>
    </row>
    <row r="5844" spans="1:1" ht="18.75" customHeight="1">
      <c r="A5844"/>
    </row>
    <row r="5845" spans="1:1" ht="18.75" customHeight="1">
      <c r="A5845"/>
    </row>
    <row r="5846" spans="1:1" ht="18.75" customHeight="1">
      <c r="A5846"/>
    </row>
    <row r="5847" spans="1:1" ht="18.75" customHeight="1">
      <c r="A5847"/>
    </row>
    <row r="5848" spans="1:1" ht="18.75" customHeight="1">
      <c r="A5848"/>
    </row>
    <row r="5849" spans="1:1" ht="18.75" customHeight="1">
      <c r="A5849"/>
    </row>
    <row r="5850" spans="1:1" ht="18.75" customHeight="1">
      <c r="A5850"/>
    </row>
    <row r="5851" spans="1:1" ht="18.75" customHeight="1">
      <c r="A5851"/>
    </row>
    <row r="5852" spans="1:1" ht="18.75" customHeight="1">
      <c r="A5852"/>
    </row>
    <row r="5853" spans="1:1" ht="18.75" customHeight="1">
      <c r="A5853"/>
    </row>
    <row r="5854" spans="1:1" ht="18.75" customHeight="1">
      <c r="A5854"/>
    </row>
    <row r="5855" spans="1:1" ht="18.75" customHeight="1">
      <c r="A5855"/>
    </row>
    <row r="5856" spans="1:1" ht="18.75" customHeight="1">
      <c r="A5856"/>
    </row>
    <row r="5857" spans="1:1" ht="18.75" customHeight="1">
      <c r="A5857"/>
    </row>
    <row r="5858" spans="1:1" ht="18.75" customHeight="1">
      <c r="A5858"/>
    </row>
    <row r="5859" spans="1:1" ht="18.75" customHeight="1">
      <c r="A5859"/>
    </row>
    <row r="5860" spans="1:1" ht="18.75" customHeight="1">
      <c r="A5860"/>
    </row>
    <row r="5861" spans="1:1" ht="18.75" customHeight="1">
      <c r="A5861"/>
    </row>
    <row r="5862" spans="1:1" ht="18.75" customHeight="1">
      <c r="A5862"/>
    </row>
    <row r="5863" spans="1:1" ht="18.75" customHeight="1">
      <c r="A5863"/>
    </row>
    <row r="5864" spans="1:1" ht="18.75" customHeight="1">
      <c r="A5864"/>
    </row>
    <row r="5865" spans="1:1" ht="18.75" customHeight="1">
      <c r="A5865"/>
    </row>
    <row r="5866" spans="1:1" ht="18.75" customHeight="1">
      <c r="A5866"/>
    </row>
    <row r="5867" spans="1:1" ht="18.75" customHeight="1">
      <c r="A5867"/>
    </row>
    <row r="5868" spans="1:1" ht="18.75" customHeight="1">
      <c r="A5868"/>
    </row>
    <row r="5869" spans="1:1" ht="18.75" customHeight="1">
      <c r="A5869"/>
    </row>
    <row r="5870" spans="1:1" ht="18.75" customHeight="1">
      <c r="A5870"/>
    </row>
    <row r="5871" spans="1:1" ht="18.75" customHeight="1">
      <c r="A5871"/>
    </row>
    <row r="5872" spans="1:1" ht="18.75" customHeight="1">
      <c r="A5872"/>
    </row>
    <row r="5873" spans="1:1" ht="18.75" customHeight="1">
      <c r="A5873"/>
    </row>
    <row r="5874" spans="1:1" ht="18.75" customHeight="1">
      <c r="A5874"/>
    </row>
    <row r="5875" spans="1:1" ht="18.75" customHeight="1">
      <c r="A5875"/>
    </row>
    <row r="5876" spans="1:1" ht="18.75" customHeight="1">
      <c r="A5876"/>
    </row>
    <row r="5877" spans="1:1" ht="18.75" customHeight="1">
      <c r="A5877"/>
    </row>
    <row r="5878" spans="1:1" ht="18.75" customHeight="1">
      <c r="A5878"/>
    </row>
    <row r="5879" spans="1:1" ht="18.75" customHeight="1">
      <c r="A5879"/>
    </row>
    <row r="5880" spans="1:1" ht="18.75" customHeight="1">
      <c r="A5880"/>
    </row>
    <row r="5881" spans="1:1" ht="18.75" customHeight="1">
      <c r="A5881"/>
    </row>
    <row r="5882" spans="1:1" ht="18.75" customHeight="1">
      <c r="A5882"/>
    </row>
    <row r="5883" spans="1:1" ht="18.75" customHeight="1">
      <c r="A5883"/>
    </row>
    <row r="5884" spans="1:1" ht="18.75" customHeight="1">
      <c r="A5884"/>
    </row>
    <row r="5885" spans="1:1" ht="18.75" customHeight="1">
      <c r="A5885"/>
    </row>
    <row r="5886" spans="1:1" ht="18.75" customHeight="1">
      <c r="A5886"/>
    </row>
    <row r="5887" spans="1:1" ht="18.75" customHeight="1">
      <c r="A5887"/>
    </row>
    <row r="5888" spans="1:1" ht="18.75" customHeight="1">
      <c r="A5888"/>
    </row>
    <row r="5889" spans="1:1" ht="18.75" customHeight="1">
      <c r="A5889"/>
    </row>
    <row r="5890" spans="1:1" ht="18.75" customHeight="1">
      <c r="A5890"/>
    </row>
    <row r="5891" spans="1:1" ht="18.75" customHeight="1">
      <c r="A5891"/>
    </row>
    <row r="5892" spans="1:1" ht="18.75" customHeight="1">
      <c r="A5892"/>
    </row>
    <row r="5893" spans="1:1" ht="18.75" customHeight="1">
      <c r="A5893"/>
    </row>
    <row r="5894" spans="1:1" ht="18.75" customHeight="1">
      <c r="A5894"/>
    </row>
    <row r="5895" spans="1:1" ht="18.75" customHeight="1">
      <c r="A5895"/>
    </row>
    <row r="5896" spans="1:1" ht="18.75" customHeight="1">
      <c r="A5896"/>
    </row>
    <row r="5897" spans="1:1" ht="18.75" customHeight="1">
      <c r="A5897"/>
    </row>
    <row r="5898" spans="1:1" ht="18.75" customHeight="1">
      <c r="A5898"/>
    </row>
    <row r="5899" spans="1:1" ht="18.75" customHeight="1">
      <c r="A5899"/>
    </row>
    <row r="5900" spans="1:1" ht="18.75" customHeight="1">
      <c r="A5900"/>
    </row>
    <row r="5901" spans="1:1" ht="18.75" customHeight="1">
      <c r="A5901"/>
    </row>
    <row r="5902" spans="1:1" ht="18.75" customHeight="1">
      <c r="A5902"/>
    </row>
    <row r="5903" spans="1:1" ht="18.75" customHeight="1">
      <c r="A5903"/>
    </row>
    <row r="5904" spans="1:1" ht="18.75" customHeight="1">
      <c r="A5904"/>
    </row>
    <row r="5905" spans="1:1" ht="18.75" customHeight="1">
      <c r="A5905"/>
    </row>
    <row r="5906" spans="1:1" ht="18.75" customHeight="1">
      <c r="A5906"/>
    </row>
    <row r="5907" spans="1:1" ht="18.75" customHeight="1">
      <c r="A5907"/>
    </row>
    <row r="5908" spans="1:1" ht="18.75" customHeight="1">
      <c r="A5908"/>
    </row>
    <row r="5909" spans="1:1" ht="18.75" customHeight="1">
      <c r="A5909"/>
    </row>
    <row r="5910" spans="1:1" ht="18.75" customHeight="1">
      <c r="A5910"/>
    </row>
    <row r="5911" spans="1:1" ht="18.75" customHeight="1">
      <c r="A5911"/>
    </row>
    <row r="5912" spans="1:1" ht="18.75" customHeight="1">
      <c r="A5912"/>
    </row>
    <row r="5913" spans="1:1" ht="18.75" customHeight="1">
      <c r="A5913"/>
    </row>
    <row r="5914" spans="1:1" ht="18.75" customHeight="1">
      <c r="A5914"/>
    </row>
    <row r="5915" spans="1:1" ht="18.75" customHeight="1">
      <c r="A5915"/>
    </row>
    <row r="5916" spans="1:1" ht="18.75" customHeight="1">
      <c r="A5916"/>
    </row>
    <row r="5917" spans="1:1" ht="18.75" customHeight="1">
      <c r="A5917"/>
    </row>
    <row r="5918" spans="1:1" ht="18.75" customHeight="1">
      <c r="A5918"/>
    </row>
    <row r="5919" spans="1:1" ht="18.75" customHeight="1">
      <c r="A5919"/>
    </row>
    <row r="5920" spans="1:1" ht="18.75" customHeight="1">
      <c r="A5920"/>
    </row>
    <row r="5921" spans="1:1" ht="18.75" customHeight="1">
      <c r="A5921"/>
    </row>
    <row r="5922" spans="1:1" ht="18.75" customHeight="1">
      <c r="A5922"/>
    </row>
    <row r="5923" spans="1:1" ht="18.75" customHeight="1">
      <c r="A5923"/>
    </row>
    <row r="5924" spans="1:1" ht="18.75" customHeight="1">
      <c r="A5924"/>
    </row>
    <row r="5925" spans="1:1" ht="18.75" customHeight="1">
      <c r="A5925"/>
    </row>
    <row r="5926" spans="1:1" ht="18.75" customHeight="1">
      <c r="A5926"/>
    </row>
    <row r="5927" spans="1:1" ht="18.75" customHeight="1">
      <c r="A5927"/>
    </row>
    <row r="5928" spans="1:1" ht="18.75" customHeight="1">
      <c r="A5928"/>
    </row>
    <row r="5929" spans="1:1" ht="18.75" customHeight="1">
      <c r="A5929"/>
    </row>
    <row r="5930" spans="1:1" ht="18.75" customHeight="1">
      <c r="A5930"/>
    </row>
    <row r="5931" spans="1:1" ht="18.75" customHeight="1">
      <c r="A5931"/>
    </row>
    <row r="5932" spans="1:1" ht="18.75" customHeight="1">
      <c r="A5932"/>
    </row>
    <row r="5933" spans="1:1" ht="18.75" customHeight="1">
      <c r="A5933"/>
    </row>
    <row r="5934" spans="1:1" ht="18.75" customHeight="1">
      <c r="A5934"/>
    </row>
    <row r="5935" spans="1:1" ht="18.75" customHeight="1">
      <c r="A5935"/>
    </row>
    <row r="5936" spans="1:1" ht="18.75" customHeight="1">
      <c r="A5936"/>
    </row>
    <row r="5937" spans="1:1" ht="18.75" customHeight="1">
      <c r="A5937"/>
    </row>
    <row r="5938" spans="1:1" ht="18.75" customHeight="1">
      <c r="A5938"/>
    </row>
    <row r="5939" spans="1:1" ht="18.75" customHeight="1">
      <c r="A5939"/>
    </row>
    <row r="5940" spans="1:1" ht="18.75" customHeight="1">
      <c r="A5940"/>
    </row>
    <row r="5941" spans="1:1" ht="18.75" customHeight="1">
      <c r="A5941"/>
    </row>
    <row r="5942" spans="1:1" ht="18.75" customHeight="1">
      <c r="A5942"/>
    </row>
    <row r="5943" spans="1:1" ht="18.75" customHeight="1">
      <c r="A5943"/>
    </row>
    <row r="5944" spans="1:1" ht="18.75" customHeight="1">
      <c r="A5944"/>
    </row>
    <row r="5945" spans="1:1" ht="18.75" customHeight="1">
      <c r="A5945"/>
    </row>
    <row r="5946" spans="1:1" ht="18.75" customHeight="1">
      <c r="A5946"/>
    </row>
    <row r="5947" spans="1:1" ht="18.75" customHeight="1">
      <c r="A5947"/>
    </row>
    <row r="5948" spans="1:1" ht="18.75" customHeight="1">
      <c r="A5948"/>
    </row>
    <row r="5949" spans="1:1" ht="18.75" customHeight="1">
      <c r="A5949"/>
    </row>
    <row r="5950" spans="1:1" ht="18.75" customHeight="1">
      <c r="A5950"/>
    </row>
    <row r="5951" spans="1:1" ht="18.75" customHeight="1">
      <c r="A5951"/>
    </row>
    <row r="5952" spans="1:1" ht="18.75" customHeight="1">
      <c r="A5952"/>
    </row>
    <row r="5953" spans="1:1" ht="18.75" customHeight="1">
      <c r="A5953"/>
    </row>
    <row r="5954" spans="1:1" ht="18.75" customHeight="1">
      <c r="A5954"/>
    </row>
    <row r="5955" spans="1:1" ht="18.75" customHeight="1">
      <c r="A5955"/>
    </row>
    <row r="5956" spans="1:1" ht="18.75" customHeight="1">
      <c r="A5956"/>
    </row>
    <row r="5957" spans="1:1" ht="18.75" customHeight="1">
      <c r="A5957"/>
    </row>
    <row r="5958" spans="1:1" ht="18.75" customHeight="1">
      <c r="A5958"/>
    </row>
    <row r="5959" spans="1:1" ht="18.75" customHeight="1">
      <c r="A5959"/>
    </row>
    <row r="5960" spans="1:1" ht="18.75" customHeight="1">
      <c r="A5960"/>
    </row>
    <row r="5961" spans="1:1" ht="18.75" customHeight="1">
      <c r="A5961"/>
    </row>
    <row r="5962" spans="1:1" ht="18.75" customHeight="1">
      <c r="A5962"/>
    </row>
    <row r="5963" spans="1:1" ht="18.75" customHeight="1">
      <c r="A5963"/>
    </row>
    <row r="5964" spans="1:1" ht="18.75" customHeight="1">
      <c r="A5964"/>
    </row>
    <row r="5965" spans="1:1" ht="18.75" customHeight="1">
      <c r="A5965"/>
    </row>
    <row r="5966" spans="1:1" ht="18.75" customHeight="1">
      <c r="A5966"/>
    </row>
    <row r="5967" spans="1:1" ht="18.75" customHeight="1">
      <c r="A5967"/>
    </row>
    <row r="5968" spans="1:1" ht="18.75" customHeight="1">
      <c r="A5968"/>
    </row>
    <row r="5969" spans="1:1" ht="18.75" customHeight="1">
      <c r="A5969"/>
    </row>
    <row r="5970" spans="1:1" ht="18.75" customHeight="1">
      <c r="A5970"/>
    </row>
    <row r="5971" spans="1:1" ht="18.75" customHeight="1">
      <c r="A5971"/>
    </row>
    <row r="5972" spans="1:1" ht="18.75" customHeight="1">
      <c r="A5972"/>
    </row>
    <row r="5973" spans="1:1" ht="18.75" customHeight="1">
      <c r="A5973"/>
    </row>
    <row r="5974" spans="1:1" ht="18.75" customHeight="1">
      <c r="A5974"/>
    </row>
    <row r="5975" spans="1:1" ht="18.75" customHeight="1">
      <c r="A5975"/>
    </row>
    <row r="5976" spans="1:1" ht="18.75" customHeight="1">
      <c r="A5976"/>
    </row>
    <row r="5977" spans="1:1" ht="18.75" customHeight="1">
      <c r="A5977"/>
    </row>
    <row r="5978" spans="1:1" ht="18.75" customHeight="1">
      <c r="A5978"/>
    </row>
    <row r="5979" spans="1:1" ht="18.75" customHeight="1">
      <c r="A5979"/>
    </row>
    <row r="5980" spans="1:1" ht="18.75" customHeight="1">
      <c r="A5980"/>
    </row>
    <row r="5981" spans="1:1" ht="18.75" customHeight="1">
      <c r="A5981"/>
    </row>
    <row r="5982" spans="1:1" ht="18.75" customHeight="1">
      <c r="A5982"/>
    </row>
    <row r="5983" spans="1:1" ht="18.75" customHeight="1">
      <c r="A5983"/>
    </row>
    <row r="5984" spans="1:1" ht="18.75" customHeight="1">
      <c r="A5984"/>
    </row>
    <row r="5985" spans="1:1" ht="18.75" customHeight="1">
      <c r="A5985"/>
    </row>
    <row r="5986" spans="1:1" ht="18.75" customHeight="1">
      <c r="A5986"/>
    </row>
    <row r="5987" spans="1:1" ht="18.75" customHeight="1">
      <c r="A5987"/>
    </row>
    <row r="5988" spans="1:1" ht="18.75" customHeight="1">
      <c r="A5988"/>
    </row>
    <row r="5989" spans="1:1" ht="18.75" customHeight="1">
      <c r="A5989"/>
    </row>
    <row r="5990" spans="1:1" ht="18.75" customHeight="1">
      <c r="A5990"/>
    </row>
    <row r="5991" spans="1:1" ht="18.75" customHeight="1">
      <c r="A5991"/>
    </row>
    <row r="5992" spans="1:1" ht="18.75" customHeight="1">
      <c r="A5992"/>
    </row>
    <row r="5993" spans="1:1" ht="18.75" customHeight="1">
      <c r="A5993"/>
    </row>
    <row r="5994" spans="1:1" ht="18.75" customHeight="1">
      <c r="A5994"/>
    </row>
    <row r="5995" spans="1:1" ht="18.75" customHeight="1">
      <c r="A5995"/>
    </row>
    <row r="5996" spans="1:1" ht="18.75" customHeight="1">
      <c r="A5996"/>
    </row>
    <row r="5997" spans="1:1" ht="18.75" customHeight="1">
      <c r="A5997"/>
    </row>
    <row r="5998" spans="1:1" ht="18.75" customHeight="1">
      <c r="A5998"/>
    </row>
    <row r="5999" spans="1:1" ht="18.75" customHeight="1">
      <c r="A5999"/>
    </row>
    <row r="6000" spans="1:1" ht="18.75" customHeight="1">
      <c r="A6000"/>
    </row>
    <row r="6001" spans="1:1" ht="18.75" customHeight="1">
      <c r="A6001"/>
    </row>
    <row r="6002" spans="1:1" ht="18.75" customHeight="1">
      <c r="A6002"/>
    </row>
    <row r="6003" spans="1:1" ht="18.75" customHeight="1">
      <c r="A6003"/>
    </row>
    <row r="6004" spans="1:1" ht="18.75" customHeight="1">
      <c r="A6004"/>
    </row>
    <row r="6005" spans="1:1" ht="18.75" customHeight="1">
      <c r="A6005"/>
    </row>
    <row r="6006" spans="1:1" ht="18.75" customHeight="1">
      <c r="A6006"/>
    </row>
    <row r="6007" spans="1:1" ht="18.75" customHeight="1">
      <c r="A6007"/>
    </row>
    <row r="6008" spans="1:1" ht="18.75" customHeight="1">
      <c r="A6008"/>
    </row>
    <row r="6009" spans="1:1" ht="18.75" customHeight="1">
      <c r="A6009"/>
    </row>
    <row r="6010" spans="1:1" ht="18.75" customHeight="1">
      <c r="A6010"/>
    </row>
    <row r="6011" spans="1:1" ht="18.75" customHeight="1">
      <c r="A6011"/>
    </row>
    <row r="6012" spans="1:1" ht="18.75" customHeight="1">
      <c r="A6012"/>
    </row>
    <row r="6013" spans="1:1" ht="18.75" customHeight="1">
      <c r="A6013"/>
    </row>
    <row r="6014" spans="1:1" ht="18.75" customHeight="1">
      <c r="A6014"/>
    </row>
    <row r="6015" spans="1:1" ht="18.75" customHeight="1">
      <c r="A6015"/>
    </row>
    <row r="6016" spans="1:1" ht="18.75" customHeight="1">
      <c r="A6016"/>
    </row>
    <row r="6017" spans="1:1" ht="18.75" customHeight="1">
      <c r="A6017"/>
    </row>
    <row r="6018" spans="1:1" ht="18.75" customHeight="1">
      <c r="A6018"/>
    </row>
    <row r="6019" spans="1:1" ht="18.75" customHeight="1">
      <c r="A6019"/>
    </row>
    <row r="6020" spans="1:1" ht="18.75" customHeight="1">
      <c r="A6020"/>
    </row>
    <row r="6021" spans="1:1" ht="18.75" customHeight="1">
      <c r="A6021"/>
    </row>
    <row r="6022" spans="1:1" ht="18.75" customHeight="1">
      <c r="A6022"/>
    </row>
    <row r="6023" spans="1:1" ht="18.75" customHeight="1">
      <c r="A6023"/>
    </row>
    <row r="6024" spans="1:1" ht="18.75" customHeight="1">
      <c r="A6024"/>
    </row>
    <row r="6025" spans="1:1" ht="18.75" customHeight="1">
      <c r="A6025"/>
    </row>
    <row r="6026" spans="1:1" ht="18.75" customHeight="1">
      <c r="A6026"/>
    </row>
    <row r="6027" spans="1:1" ht="18.75" customHeight="1">
      <c r="A6027"/>
    </row>
    <row r="6028" spans="1:1" ht="18.75" customHeight="1">
      <c r="A6028"/>
    </row>
    <row r="6029" spans="1:1" ht="18.75" customHeight="1">
      <c r="A6029"/>
    </row>
    <row r="6030" spans="1:1" ht="18.75" customHeight="1">
      <c r="A6030"/>
    </row>
    <row r="6031" spans="1:1" ht="18.75" customHeight="1">
      <c r="A6031"/>
    </row>
    <row r="6032" spans="1:1" ht="18.75" customHeight="1">
      <c r="A6032"/>
    </row>
    <row r="6033" spans="1:1" ht="18.75" customHeight="1">
      <c r="A6033"/>
    </row>
    <row r="6034" spans="1:1" ht="18.75" customHeight="1">
      <c r="A6034"/>
    </row>
    <row r="6035" spans="1:1" ht="18.75" customHeight="1">
      <c r="A6035"/>
    </row>
    <row r="6036" spans="1:1" ht="18.75" customHeight="1">
      <c r="A6036"/>
    </row>
    <row r="6037" spans="1:1" ht="18.75" customHeight="1">
      <c r="A6037"/>
    </row>
    <row r="6038" spans="1:1" ht="18.75" customHeight="1">
      <c r="A6038"/>
    </row>
    <row r="6039" spans="1:1" ht="18.75" customHeight="1">
      <c r="A6039"/>
    </row>
    <row r="6040" spans="1:1" ht="18.75" customHeight="1">
      <c r="A6040"/>
    </row>
    <row r="6041" spans="1:1" ht="18.75" customHeight="1">
      <c r="A6041"/>
    </row>
    <row r="6042" spans="1:1" ht="18.75" customHeight="1">
      <c r="A6042"/>
    </row>
    <row r="6043" spans="1:1" ht="18.75" customHeight="1">
      <c r="A6043"/>
    </row>
    <row r="6044" spans="1:1" ht="18.75" customHeight="1">
      <c r="A6044"/>
    </row>
    <row r="6045" spans="1:1" ht="18.75" customHeight="1">
      <c r="A6045"/>
    </row>
    <row r="6046" spans="1:1" ht="18.75" customHeight="1">
      <c r="A6046"/>
    </row>
    <row r="6047" spans="1:1" ht="18.75" customHeight="1">
      <c r="A6047"/>
    </row>
    <row r="6048" spans="1:1" ht="18.75" customHeight="1">
      <c r="A6048"/>
    </row>
    <row r="6049" spans="1:1" ht="18.75" customHeight="1">
      <c r="A6049"/>
    </row>
    <row r="6050" spans="1:1" ht="18.75" customHeight="1">
      <c r="A6050"/>
    </row>
    <row r="6051" spans="1:1" ht="18.75" customHeight="1">
      <c r="A6051"/>
    </row>
    <row r="6052" spans="1:1" ht="18.75" customHeight="1">
      <c r="A6052"/>
    </row>
    <row r="6053" spans="1:1" ht="18.75" customHeight="1">
      <c r="A6053"/>
    </row>
    <row r="6054" spans="1:1" ht="18.75" customHeight="1">
      <c r="A6054"/>
    </row>
    <row r="6055" spans="1:1" ht="18.75" customHeight="1">
      <c r="A6055"/>
    </row>
    <row r="6056" spans="1:1" ht="18.75" customHeight="1">
      <c r="A6056"/>
    </row>
    <row r="6057" spans="1:1" ht="18.75" customHeight="1">
      <c r="A6057"/>
    </row>
    <row r="6058" spans="1:1" ht="18.75" customHeight="1">
      <c r="A6058"/>
    </row>
    <row r="6059" spans="1:1" ht="18.75" customHeight="1">
      <c r="A6059"/>
    </row>
    <row r="6060" spans="1:1" ht="18.75" customHeight="1">
      <c r="A6060"/>
    </row>
    <row r="6061" spans="1:1" ht="18.75" customHeight="1">
      <c r="A6061"/>
    </row>
    <row r="6062" spans="1:1" ht="18.75" customHeight="1">
      <c r="A6062"/>
    </row>
    <row r="6063" spans="1:1" ht="18.75" customHeight="1">
      <c r="A6063"/>
    </row>
    <row r="6064" spans="1:1" ht="18.75" customHeight="1">
      <c r="A6064"/>
    </row>
    <row r="6065" spans="1:1" ht="18.75" customHeight="1">
      <c r="A6065"/>
    </row>
    <row r="6066" spans="1:1" ht="18.75" customHeight="1">
      <c r="A6066"/>
    </row>
    <row r="6067" spans="1:1" ht="18.75" customHeight="1">
      <c r="A6067"/>
    </row>
    <row r="6068" spans="1:1" ht="18.75" customHeight="1">
      <c r="A6068"/>
    </row>
    <row r="6069" spans="1:1" ht="18.75" customHeight="1">
      <c r="A6069"/>
    </row>
    <row r="6070" spans="1:1" ht="18.75" customHeight="1">
      <c r="A6070"/>
    </row>
    <row r="6071" spans="1:1" ht="18.75" customHeight="1">
      <c r="A6071"/>
    </row>
    <row r="6072" spans="1:1" ht="18.75" customHeight="1">
      <c r="A6072"/>
    </row>
    <row r="6073" spans="1:1" ht="18.75" customHeight="1">
      <c r="A6073"/>
    </row>
    <row r="6074" spans="1:1" ht="18.75" customHeight="1">
      <c r="A6074"/>
    </row>
    <row r="6075" spans="1:1" ht="18.75" customHeight="1">
      <c r="A6075"/>
    </row>
    <row r="6076" spans="1:1" ht="18.75" customHeight="1">
      <c r="A6076"/>
    </row>
    <row r="6077" spans="1:1" ht="18.75" customHeight="1">
      <c r="A6077"/>
    </row>
    <row r="6078" spans="1:1" ht="18.75" customHeight="1">
      <c r="A6078"/>
    </row>
    <row r="6079" spans="1:1" ht="18.75" customHeight="1">
      <c r="A6079"/>
    </row>
    <row r="6080" spans="1:1" ht="18.75" customHeight="1">
      <c r="A6080"/>
    </row>
    <row r="6081" spans="1:1" ht="18.75" customHeight="1">
      <c r="A6081"/>
    </row>
    <row r="6082" spans="1:1" ht="18.75" customHeight="1">
      <c r="A6082"/>
    </row>
    <row r="6083" spans="1:1" ht="18.75" customHeight="1">
      <c r="A6083"/>
    </row>
    <row r="6084" spans="1:1" ht="18.75" customHeight="1">
      <c r="A6084"/>
    </row>
    <row r="6085" spans="1:1" ht="18.75" customHeight="1">
      <c r="A6085"/>
    </row>
    <row r="6086" spans="1:1" ht="18.75" customHeight="1">
      <c r="A6086"/>
    </row>
    <row r="6087" spans="1:1" ht="18.75" customHeight="1">
      <c r="A6087"/>
    </row>
    <row r="6088" spans="1:1" ht="18.75" customHeight="1">
      <c r="A6088"/>
    </row>
    <row r="6089" spans="1:1" ht="18.75" customHeight="1">
      <c r="A6089"/>
    </row>
    <row r="6090" spans="1:1" ht="18.75" customHeight="1">
      <c r="A6090"/>
    </row>
    <row r="6091" spans="1:1" ht="18.75" customHeight="1">
      <c r="A6091"/>
    </row>
    <row r="6092" spans="1:1" ht="18.75" customHeight="1">
      <c r="A6092"/>
    </row>
    <row r="6093" spans="1:1" ht="18.75" customHeight="1">
      <c r="A6093"/>
    </row>
    <row r="6094" spans="1:1" ht="18.75" customHeight="1">
      <c r="A6094"/>
    </row>
    <row r="6095" spans="1:1" ht="18.75" customHeight="1">
      <c r="A6095"/>
    </row>
    <row r="6096" spans="1:1" ht="18.75" customHeight="1">
      <c r="A6096"/>
    </row>
    <row r="6097" spans="1:1" ht="18.75" customHeight="1">
      <c r="A6097"/>
    </row>
    <row r="6098" spans="1:1" ht="18.75" customHeight="1">
      <c r="A6098"/>
    </row>
    <row r="6099" spans="1:1" ht="18.75" customHeight="1">
      <c r="A6099"/>
    </row>
    <row r="6100" spans="1:1" ht="18.75" customHeight="1">
      <c r="A6100"/>
    </row>
    <row r="6101" spans="1:1" ht="18.75" customHeight="1">
      <c r="A6101"/>
    </row>
    <row r="6102" spans="1:1" ht="18.75" customHeight="1">
      <c r="A6102"/>
    </row>
    <row r="6103" spans="1:1" ht="18.75" customHeight="1">
      <c r="A6103"/>
    </row>
    <row r="6104" spans="1:1" ht="18.75" customHeight="1">
      <c r="A6104"/>
    </row>
    <row r="6105" spans="1:1" ht="18.75" customHeight="1">
      <c r="A6105"/>
    </row>
    <row r="6106" spans="1:1" ht="18.75" customHeight="1">
      <c r="A6106"/>
    </row>
    <row r="6107" spans="1:1" ht="18.75" customHeight="1">
      <c r="A6107"/>
    </row>
    <row r="6108" spans="1:1" ht="18.75" customHeight="1">
      <c r="A6108"/>
    </row>
    <row r="6109" spans="1:1" ht="18.75" customHeight="1">
      <c r="A6109"/>
    </row>
    <row r="6110" spans="1:1" ht="18.75" customHeight="1">
      <c r="A6110"/>
    </row>
    <row r="6111" spans="1:1" ht="18.75" customHeight="1">
      <c r="A6111"/>
    </row>
    <row r="6112" spans="1:1" ht="18.75" customHeight="1">
      <c r="A6112"/>
    </row>
    <row r="6113" spans="1:1" ht="18.75" customHeight="1">
      <c r="A6113"/>
    </row>
    <row r="6114" spans="1:1" ht="18.75" customHeight="1">
      <c r="A6114"/>
    </row>
    <row r="6115" spans="1:1" ht="18.75" customHeight="1">
      <c r="A6115"/>
    </row>
    <row r="6116" spans="1:1" ht="18.75" customHeight="1">
      <c r="A6116"/>
    </row>
    <row r="6117" spans="1:1" ht="18.75" customHeight="1">
      <c r="A6117"/>
    </row>
    <row r="6118" spans="1:1" ht="18.75" customHeight="1">
      <c r="A6118"/>
    </row>
    <row r="6119" spans="1:1" ht="18.75" customHeight="1">
      <c r="A6119"/>
    </row>
    <row r="6120" spans="1:1" ht="18.75" customHeight="1">
      <c r="A6120"/>
    </row>
    <row r="6121" spans="1:1" ht="18.75" customHeight="1">
      <c r="A6121"/>
    </row>
    <row r="6122" spans="1:1" ht="18.75" customHeight="1">
      <c r="A6122"/>
    </row>
    <row r="6123" spans="1:1" ht="18.75" customHeight="1">
      <c r="A6123"/>
    </row>
    <row r="6124" spans="1:1" ht="18.75" customHeight="1">
      <c r="A6124"/>
    </row>
    <row r="6125" spans="1:1" ht="18.75" customHeight="1">
      <c r="A6125"/>
    </row>
    <row r="6126" spans="1:1" ht="18.75" customHeight="1">
      <c r="A6126"/>
    </row>
    <row r="6127" spans="1:1" ht="18.75" customHeight="1">
      <c r="A6127"/>
    </row>
    <row r="6128" spans="1:1" ht="18.75" customHeight="1">
      <c r="A6128"/>
    </row>
    <row r="6129" spans="1:1" ht="18.75" customHeight="1">
      <c r="A6129"/>
    </row>
    <row r="6130" spans="1:1" ht="18.75" customHeight="1">
      <c r="A6130"/>
    </row>
    <row r="6131" spans="1:1" ht="18.75" customHeight="1">
      <c r="A6131"/>
    </row>
    <row r="6132" spans="1:1" ht="18.75" customHeight="1">
      <c r="A6132"/>
    </row>
    <row r="6133" spans="1:1" ht="18.75" customHeight="1">
      <c r="A6133"/>
    </row>
    <row r="6134" spans="1:1" ht="18.75" customHeight="1">
      <c r="A6134"/>
    </row>
    <row r="6135" spans="1:1" ht="18.75" customHeight="1">
      <c r="A6135"/>
    </row>
    <row r="6136" spans="1:1" ht="18.75" customHeight="1">
      <c r="A6136"/>
    </row>
    <row r="6137" spans="1:1" ht="18.75" customHeight="1">
      <c r="A6137"/>
    </row>
    <row r="6138" spans="1:1" ht="18.75" customHeight="1">
      <c r="A6138"/>
    </row>
    <row r="6139" spans="1:1" ht="18.75" customHeight="1">
      <c r="A6139"/>
    </row>
    <row r="6140" spans="1:1" ht="18.75" customHeight="1">
      <c r="A6140"/>
    </row>
    <row r="6141" spans="1:1" ht="18.75" customHeight="1">
      <c r="A6141"/>
    </row>
    <row r="6142" spans="1:1" ht="18.75" customHeight="1">
      <c r="A6142"/>
    </row>
    <row r="6143" spans="1:1" ht="18.75" customHeight="1">
      <c r="A6143"/>
    </row>
    <row r="6144" spans="1:1" ht="18.75" customHeight="1">
      <c r="A6144"/>
    </row>
    <row r="6145" spans="1:1" ht="18.75" customHeight="1">
      <c r="A6145"/>
    </row>
    <row r="6146" spans="1:1" ht="18.75" customHeight="1">
      <c r="A6146"/>
    </row>
    <row r="6147" spans="1:1" ht="18.75" customHeight="1">
      <c r="A6147"/>
    </row>
    <row r="6148" spans="1:1" ht="18.75" customHeight="1">
      <c r="A6148"/>
    </row>
    <row r="6149" spans="1:1" ht="18.75" customHeight="1">
      <c r="A6149"/>
    </row>
    <row r="6150" spans="1:1" ht="18.75" customHeight="1">
      <c r="A6150"/>
    </row>
    <row r="6151" spans="1:1" ht="18.75" customHeight="1">
      <c r="A6151"/>
    </row>
    <row r="6152" spans="1:1" ht="18.75" customHeight="1">
      <c r="A6152"/>
    </row>
    <row r="6153" spans="1:1" ht="18.75" customHeight="1">
      <c r="A6153"/>
    </row>
    <row r="6154" spans="1:1" ht="18.75" customHeight="1">
      <c r="A6154"/>
    </row>
    <row r="6155" spans="1:1" ht="18.75" customHeight="1">
      <c r="A6155"/>
    </row>
    <row r="6156" spans="1:1" ht="18.75" customHeight="1">
      <c r="A6156"/>
    </row>
    <row r="6157" spans="1:1" ht="18.75" customHeight="1">
      <c r="A6157"/>
    </row>
    <row r="6158" spans="1:1" ht="18.75" customHeight="1">
      <c r="A6158"/>
    </row>
    <row r="6159" spans="1:1" ht="18.75" customHeight="1">
      <c r="A6159"/>
    </row>
    <row r="6160" spans="1:1" ht="18.75" customHeight="1">
      <c r="A6160"/>
    </row>
    <row r="6161" spans="1:1" ht="18.75" customHeight="1">
      <c r="A6161"/>
    </row>
    <row r="6162" spans="1:1" ht="18.75" customHeight="1">
      <c r="A6162"/>
    </row>
    <row r="6163" spans="1:1" ht="18.75" customHeight="1">
      <c r="A6163"/>
    </row>
    <row r="6164" spans="1:1" ht="18.75" customHeight="1">
      <c r="A6164"/>
    </row>
    <row r="6165" spans="1:1" ht="18.75" customHeight="1">
      <c r="A6165"/>
    </row>
    <row r="6166" spans="1:1" ht="18.75" customHeight="1">
      <c r="A6166"/>
    </row>
    <row r="6167" spans="1:1" ht="18.75" customHeight="1">
      <c r="A6167"/>
    </row>
    <row r="6168" spans="1:1" ht="18.75" customHeight="1">
      <c r="A6168"/>
    </row>
    <row r="6169" spans="1:1" ht="18.75" customHeight="1">
      <c r="A6169"/>
    </row>
    <row r="6170" spans="1:1" ht="18.75" customHeight="1">
      <c r="A6170"/>
    </row>
    <row r="6171" spans="1:1" ht="18.75" customHeight="1">
      <c r="A6171"/>
    </row>
    <row r="6172" spans="1:1" ht="18.75" customHeight="1">
      <c r="A6172"/>
    </row>
    <row r="6173" spans="1:1" ht="18.75" customHeight="1">
      <c r="A6173"/>
    </row>
    <row r="6174" spans="1:1" ht="18.75" customHeight="1">
      <c r="A6174"/>
    </row>
    <row r="6175" spans="1:1" ht="18.75" customHeight="1">
      <c r="A6175"/>
    </row>
    <row r="6176" spans="1:1" ht="18.75" customHeight="1">
      <c r="A6176"/>
    </row>
    <row r="6177" spans="1:1" ht="18.75" customHeight="1">
      <c r="A6177"/>
    </row>
    <row r="6178" spans="1:1" ht="18.75" customHeight="1">
      <c r="A6178"/>
    </row>
    <row r="6179" spans="1:1" ht="18.75" customHeight="1">
      <c r="A6179"/>
    </row>
    <row r="6180" spans="1:1" ht="18.75" customHeight="1">
      <c r="A6180"/>
    </row>
    <row r="6181" spans="1:1" ht="18.75" customHeight="1">
      <c r="A6181"/>
    </row>
    <row r="6182" spans="1:1" ht="18.75" customHeight="1">
      <c r="A6182"/>
    </row>
    <row r="6183" spans="1:1" ht="18.75" customHeight="1">
      <c r="A6183"/>
    </row>
    <row r="6184" spans="1:1" ht="18.75" customHeight="1">
      <c r="A6184"/>
    </row>
    <row r="6185" spans="1:1" ht="18.75" customHeight="1">
      <c r="A6185"/>
    </row>
    <row r="6186" spans="1:1" ht="18.75" customHeight="1">
      <c r="A6186"/>
    </row>
    <row r="6187" spans="1:1" ht="18.75" customHeight="1">
      <c r="A6187"/>
    </row>
    <row r="6188" spans="1:1" ht="18.75" customHeight="1">
      <c r="A6188"/>
    </row>
    <row r="6189" spans="1:1" ht="18.75" customHeight="1">
      <c r="A6189"/>
    </row>
    <row r="6190" spans="1:1" ht="18.75" customHeight="1">
      <c r="A6190"/>
    </row>
    <row r="6191" spans="1:1" ht="18.75" customHeight="1">
      <c r="A6191"/>
    </row>
    <row r="6192" spans="1:1" ht="18.75" customHeight="1">
      <c r="A6192"/>
    </row>
    <row r="6193" spans="1:1" ht="18.75" customHeight="1">
      <c r="A6193"/>
    </row>
    <row r="6194" spans="1:1" ht="18.75" customHeight="1">
      <c r="A6194"/>
    </row>
    <row r="6195" spans="1:1" ht="18.75" customHeight="1">
      <c r="A6195"/>
    </row>
    <row r="6196" spans="1:1" ht="18.75" customHeight="1">
      <c r="A6196"/>
    </row>
    <row r="6197" spans="1:1" ht="18.75" customHeight="1">
      <c r="A6197"/>
    </row>
    <row r="6198" spans="1:1" ht="18.75" customHeight="1">
      <c r="A6198"/>
    </row>
    <row r="6199" spans="1:1" ht="18.75" customHeight="1">
      <c r="A6199"/>
    </row>
    <row r="6200" spans="1:1" ht="18.75" customHeight="1">
      <c r="A6200"/>
    </row>
    <row r="6201" spans="1:1" ht="18.75" customHeight="1">
      <c r="A6201"/>
    </row>
    <row r="6202" spans="1:1" ht="18.75" customHeight="1">
      <c r="A6202"/>
    </row>
    <row r="6203" spans="1:1" ht="18.75" customHeight="1">
      <c r="A6203"/>
    </row>
    <row r="6204" spans="1:1" ht="18.75" customHeight="1">
      <c r="A6204"/>
    </row>
    <row r="6205" spans="1:1" ht="18.75" customHeight="1">
      <c r="A6205"/>
    </row>
    <row r="6206" spans="1:1" ht="18.75" customHeight="1">
      <c r="A6206"/>
    </row>
    <row r="6207" spans="1:1" ht="18.75" customHeight="1">
      <c r="A6207"/>
    </row>
    <row r="6208" spans="1:1" ht="18.75" customHeight="1">
      <c r="A6208"/>
    </row>
    <row r="6209" spans="1:1" ht="18.75" customHeight="1">
      <c r="A6209"/>
    </row>
    <row r="6210" spans="1:1" ht="18.75" customHeight="1">
      <c r="A6210"/>
    </row>
    <row r="6211" spans="1:1" ht="18.75" customHeight="1">
      <c r="A6211"/>
    </row>
    <row r="6212" spans="1:1" ht="18.75" customHeight="1">
      <c r="A6212"/>
    </row>
    <row r="6213" spans="1:1" ht="18.75" customHeight="1">
      <c r="A6213"/>
    </row>
    <row r="6214" spans="1:1" ht="18.75" customHeight="1">
      <c r="A6214"/>
    </row>
    <row r="6215" spans="1:1" ht="18.75" customHeight="1">
      <c r="A6215"/>
    </row>
    <row r="6216" spans="1:1" ht="18.75" customHeight="1">
      <c r="A6216"/>
    </row>
    <row r="6217" spans="1:1" ht="18.75" customHeight="1">
      <c r="A6217"/>
    </row>
    <row r="6218" spans="1:1" ht="18.75" customHeight="1">
      <c r="A6218"/>
    </row>
    <row r="6219" spans="1:1" ht="18.75" customHeight="1">
      <c r="A6219"/>
    </row>
    <row r="6220" spans="1:1" ht="18.75" customHeight="1">
      <c r="A6220"/>
    </row>
    <row r="6221" spans="1:1" ht="18.75" customHeight="1">
      <c r="A6221"/>
    </row>
    <row r="6222" spans="1:1" ht="18.75" customHeight="1">
      <c r="A6222"/>
    </row>
    <row r="6223" spans="1:1" ht="18.75" customHeight="1">
      <c r="A6223"/>
    </row>
    <row r="6224" spans="1:1" ht="18.75" customHeight="1">
      <c r="A6224"/>
    </row>
    <row r="6225" spans="1:1" ht="18.75" customHeight="1">
      <c r="A6225"/>
    </row>
    <row r="6226" spans="1:1" ht="18.75" customHeight="1">
      <c r="A6226"/>
    </row>
    <row r="6227" spans="1:1" ht="18.75" customHeight="1">
      <c r="A6227"/>
    </row>
    <row r="6228" spans="1:1" ht="18.75" customHeight="1">
      <c r="A6228"/>
    </row>
    <row r="6229" spans="1:1" ht="18.75" customHeight="1">
      <c r="A6229"/>
    </row>
    <row r="6230" spans="1:1" ht="18.75" customHeight="1">
      <c r="A6230"/>
    </row>
    <row r="6231" spans="1:1" ht="18.75" customHeight="1">
      <c r="A6231"/>
    </row>
    <row r="6232" spans="1:1" ht="18.75" customHeight="1">
      <c r="A6232"/>
    </row>
    <row r="6233" spans="1:1" ht="18.75" customHeight="1">
      <c r="A6233"/>
    </row>
    <row r="6234" spans="1:1" ht="18.75" customHeight="1">
      <c r="A6234"/>
    </row>
    <row r="6235" spans="1:1" ht="18.75" customHeight="1">
      <c r="A6235"/>
    </row>
    <row r="6236" spans="1:1" ht="18.75" customHeight="1">
      <c r="A6236"/>
    </row>
    <row r="6237" spans="1:1" ht="18.75" customHeight="1">
      <c r="A6237"/>
    </row>
    <row r="6238" spans="1:1" ht="18.75" customHeight="1">
      <c r="A6238"/>
    </row>
    <row r="6239" spans="1:1" ht="18.75" customHeight="1">
      <c r="A6239"/>
    </row>
    <row r="6240" spans="1:1" ht="18.75" customHeight="1">
      <c r="A6240"/>
    </row>
    <row r="6241" spans="1:1" ht="18.75" customHeight="1">
      <c r="A6241"/>
    </row>
    <row r="6242" spans="1:1" ht="18.75" customHeight="1">
      <c r="A6242"/>
    </row>
    <row r="6243" spans="1:1" ht="18.75" customHeight="1">
      <c r="A6243"/>
    </row>
    <row r="6244" spans="1:1" ht="18.75" customHeight="1">
      <c r="A6244"/>
    </row>
    <row r="6245" spans="1:1" ht="18.75" customHeight="1">
      <c r="A6245"/>
    </row>
    <row r="6246" spans="1:1" ht="18.75" customHeight="1">
      <c r="A6246"/>
    </row>
    <row r="6247" spans="1:1" ht="18.75" customHeight="1">
      <c r="A6247"/>
    </row>
    <row r="6248" spans="1:1" ht="18.75" customHeight="1">
      <c r="A6248"/>
    </row>
    <row r="6249" spans="1:1" ht="18.75" customHeight="1">
      <c r="A6249"/>
    </row>
    <row r="6250" spans="1:1" ht="18.75" customHeight="1">
      <c r="A6250"/>
    </row>
    <row r="6251" spans="1:1" ht="18.75" customHeight="1">
      <c r="A6251"/>
    </row>
    <row r="6252" spans="1:1" ht="18.75" customHeight="1">
      <c r="A6252"/>
    </row>
    <row r="6253" spans="1:1" ht="18.75" customHeight="1">
      <c r="A6253"/>
    </row>
    <row r="6254" spans="1:1" ht="18.75" customHeight="1">
      <c r="A6254"/>
    </row>
    <row r="6255" spans="1:1" ht="18.75" customHeight="1">
      <c r="A6255"/>
    </row>
    <row r="6256" spans="1:1" ht="18.75" customHeight="1">
      <c r="A6256"/>
    </row>
    <row r="6257" spans="1:1" ht="18.75" customHeight="1">
      <c r="A6257"/>
    </row>
    <row r="6258" spans="1:1" ht="18.75" customHeight="1">
      <c r="A6258"/>
    </row>
    <row r="6259" spans="1:1" ht="18.75" customHeight="1">
      <c r="A6259"/>
    </row>
    <row r="6260" spans="1:1" ht="18.75" customHeight="1">
      <c r="A6260"/>
    </row>
    <row r="6261" spans="1:1" ht="18.75" customHeight="1">
      <c r="A6261"/>
    </row>
    <row r="6262" spans="1:1" ht="18.75" customHeight="1">
      <c r="A6262"/>
    </row>
    <row r="6263" spans="1:1" ht="18.75" customHeight="1">
      <c r="A6263"/>
    </row>
    <row r="6264" spans="1:1" ht="18.75" customHeight="1">
      <c r="A6264"/>
    </row>
    <row r="6265" spans="1:1" ht="18.75" customHeight="1">
      <c r="A6265"/>
    </row>
    <row r="6266" spans="1:1" ht="18.75" customHeight="1">
      <c r="A6266"/>
    </row>
    <row r="6267" spans="1:1" ht="18.75" customHeight="1">
      <c r="A6267"/>
    </row>
    <row r="6268" spans="1:1" ht="18.75" customHeight="1">
      <c r="A6268"/>
    </row>
    <row r="6269" spans="1:1" ht="18.75" customHeight="1">
      <c r="A6269"/>
    </row>
    <row r="6270" spans="1:1" ht="18.75" customHeight="1">
      <c r="A6270"/>
    </row>
    <row r="6271" spans="1:1" ht="18.75" customHeight="1">
      <c r="A6271"/>
    </row>
    <row r="6272" spans="1:1" ht="18.75" customHeight="1">
      <c r="A6272"/>
    </row>
    <row r="6273" spans="1:1" ht="18.75" customHeight="1">
      <c r="A6273"/>
    </row>
    <row r="6274" spans="1:1" ht="18.75" customHeight="1">
      <c r="A6274"/>
    </row>
    <row r="6275" spans="1:1" ht="18.75" customHeight="1">
      <c r="A6275"/>
    </row>
    <row r="6276" spans="1:1" ht="18.75" customHeight="1">
      <c r="A6276"/>
    </row>
    <row r="6277" spans="1:1" ht="18.75" customHeight="1">
      <c r="A6277"/>
    </row>
    <row r="6278" spans="1:1" ht="18.75" customHeight="1">
      <c r="A6278"/>
    </row>
    <row r="6279" spans="1:1" ht="18.75" customHeight="1">
      <c r="A6279"/>
    </row>
    <row r="6280" spans="1:1" ht="18.75" customHeight="1">
      <c r="A6280"/>
    </row>
    <row r="6281" spans="1:1" ht="18.75" customHeight="1">
      <c r="A6281"/>
    </row>
    <row r="6282" spans="1:1" ht="18.75" customHeight="1">
      <c r="A6282"/>
    </row>
    <row r="6283" spans="1:1" ht="18.75" customHeight="1">
      <c r="A6283"/>
    </row>
    <row r="6284" spans="1:1" ht="18.75" customHeight="1">
      <c r="A6284"/>
    </row>
    <row r="6285" spans="1:1" ht="18.75" customHeight="1">
      <c r="A6285"/>
    </row>
    <row r="6286" spans="1:1" ht="18.75" customHeight="1">
      <c r="A6286"/>
    </row>
    <row r="6287" spans="1:1" ht="18.75" customHeight="1">
      <c r="A6287"/>
    </row>
    <row r="6288" spans="1:1" ht="18.75" customHeight="1">
      <c r="A6288"/>
    </row>
    <row r="6289" spans="1:1" ht="18.75" customHeight="1">
      <c r="A6289"/>
    </row>
    <row r="6290" spans="1:1" ht="18.75" customHeight="1">
      <c r="A6290"/>
    </row>
    <row r="6291" spans="1:1" ht="18.75" customHeight="1">
      <c r="A6291"/>
    </row>
    <row r="6292" spans="1:1" ht="18.75" customHeight="1">
      <c r="A6292"/>
    </row>
    <row r="6293" spans="1:1" ht="18.75" customHeight="1">
      <c r="A6293"/>
    </row>
    <row r="6294" spans="1:1" ht="18.75" customHeight="1">
      <c r="A6294"/>
    </row>
    <row r="6295" spans="1:1" ht="18.75" customHeight="1">
      <c r="A6295"/>
    </row>
    <row r="6296" spans="1:1" ht="18.75" customHeight="1">
      <c r="A6296"/>
    </row>
    <row r="6297" spans="1:1" ht="18.75" customHeight="1">
      <c r="A6297"/>
    </row>
    <row r="6298" spans="1:1" ht="18.75" customHeight="1">
      <c r="A6298"/>
    </row>
    <row r="6299" spans="1:1" ht="18.75" customHeight="1">
      <c r="A6299"/>
    </row>
    <row r="6300" spans="1:1" ht="18.75" customHeight="1">
      <c r="A6300"/>
    </row>
    <row r="6301" spans="1:1" ht="18.75" customHeight="1">
      <c r="A6301"/>
    </row>
    <row r="6302" spans="1:1" ht="18.75" customHeight="1">
      <c r="A6302"/>
    </row>
    <row r="6303" spans="1:1" ht="18.75" customHeight="1">
      <c r="A6303"/>
    </row>
    <row r="6304" spans="1:1" ht="18.75" customHeight="1">
      <c r="A6304"/>
    </row>
    <row r="6305" spans="1:1" ht="18.75" customHeight="1">
      <c r="A6305"/>
    </row>
    <row r="6306" spans="1:1" ht="18.75" customHeight="1">
      <c r="A6306"/>
    </row>
    <row r="6307" spans="1:1" ht="18.75" customHeight="1">
      <c r="A6307"/>
    </row>
    <row r="6308" spans="1:1" ht="18.75" customHeight="1">
      <c r="A6308"/>
    </row>
    <row r="6309" spans="1:1" ht="18.75" customHeight="1">
      <c r="A6309"/>
    </row>
    <row r="6310" spans="1:1" ht="18.75" customHeight="1">
      <c r="A6310"/>
    </row>
    <row r="6311" spans="1:1" ht="18.75" customHeight="1">
      <c r="A6311"/>
    </row>
    <row r="6312" spans="1:1" ht="18.75" customHeight="1">
      <c r="A6312"/>
    </row>
    <row r="6313" spans="1:1" ht="18.75" customHeight="1">
      <c r="A6313"/>
    </row>
    <row r="6314" spans="1:1" ht="18.75" customHeight="1">
      <c r="A6314"/>
    </row>
    <row r="6315" spans="1:1" ht="18.75" customHeight="1">
      <c r="A6315"/>
    </row>
    <row r="6316" spans="1:1" ht="18.75" customHeight="1">
      <c r="A6316"/>
    </row>
    <row r="6317" spans="1:1" ht="18.75" customHeight="1">
      <c r="A6317"/>
    </row>
    <row r="6318" spans="1:1" ht="18.75" customHeight="1">
      <c r="A6318"/>
    </row>
    <row r="6319" spans="1:1" ht="18.75" customHeight="1">
      <c r="A6319"/>
    </row>
    <row r="6320" spans="1:1" ht="18.75" customHeight="1">
      <c r="A6320"/>
    </row>
    <row r="6321" spans="1:1" ht="18.75" customHeight="1">
      <c r="A6321"/>
    </row>
    <row r="6322" spans="1:1" ht="18.75" customHeight="1">
      <c r="A6322"/>
    </row>
    <row r="6323" spans="1:1" ht="18.75" customHeight="1">
      <c r="A6323"/>
    </row>
    <row r="6324" spans="1:1" ht="18.75" customHeight="1">
      <c r="A6324"/>
    </row>
    <row r="6325" spans="1:1" ht="18.75" customHeight="1">
      <c r="A6325"/>
    </row>
    <row r="6326" spans="1:1" ht="18.75" customHeight="1">
      <c r="A6326"/>
    </row>
    <row r="6327" spans="1:1" ht="18.75" customHeight="1">
      <c r="A6327"/>
    </row>
    <row r="6328" spans="1:1" ht="18.75" customHeight="1">
      <c r="A6328"/>
    </row>
    <row r="6329" spans="1:1" ht="18.75" customHeight="1">
      <c r="A6329"/>
    </row>
    <row r="6330" spans="1:1" ht="18.75" customHeight="1">
      <c r="A6330"/>
    </row>
    <row r="6331" spans="1:1" ht="18.75" customHeight="1">
      <c r="A6331"/>
    </row>
    <row r="6332" spans="1:1" ht="18.75" customHeight="1">
      <c r="A6332"/>
    </row>
    <row r="6333" spans="1:1" ht="18.75" customHeight="1">
      <c r="A6333"/>
    </row>
    <row r="6334" spans="1:1" ht="18.75" customHeight="1">
      <c r="A6334"/>
    </row>
    <row r="6335" spans="1:1" ht="18.75" customHeight="1">
      <c r="A6335"/>
    </row>
    <row r="6336" spans="1:1" ht="18.75" customHeight="1">
      <c r="A6336"/>
    </row>
    <row r="6337" spans="1:1" ht="18.75" customHeight="1">
      <c r="A6337"/>
    </row>
    <row r="6338" spans="1:1" ht="18.75" customHeight="1">
      <c r="A6338"/>
    </row>
    <row r="6339" spans="1:1" ht="18.75" customHeight="1">
      <c r="A6339"/>
    </row>
    <row r="6340" spans="1:1" ht="18.75" customHeight="1">
      <c r="A6340"/>
    </row>
    <row r="6341" spans="1:1" ht="18.75" customHeight="1">
      <c r="A6341"/>
    </row>
    <row r="6342" spans="1:1" ht="18.75" customHeight="1">
      <c r="A6342"/>
    </row>
    <row r="6343" spans="1:1" ht="18.75" customHeight="1">
      <c r="A6343"/>
    </row>
    <row r="6344" spans="1:1" ht="18.75" customHeight="1">
      <c r="A6344"/>
    </row>
    <row r="6345" spans="1:1" ht="18.75" customHeight="1">
      <c r="A6345"/>
    </row>
    <row r="6346" spans="1:1" ht="18.75" customHeight="1">
      <c r="A6346"/>
    </row>
    <row r="6347" spans="1:1" ht="18.75" customHeight="1">
      <c r="A6347"/>
    </row>
    <row r="6348" spans="1:1" ht="18.75" customHeight="1">
      <c r="A6348"/>
    </row>
    <row r="6349" spans="1:1" ht="18.75" customHeight="1">
      <c r="A6349"/>
    </row>
    <row r="6350" spans="1:1" ht="18.75" customHeight="1">
      <c r="A6350"/>
    </row>
    <row r="6351" spans="1:1" ht="18.75" customHeight="1">
      <c r="A6351"/>
    </row>
    <row r="6352" spans="1:1" ht="18.75" customHeight="1">
      <c r="A6352"/>
    </row>
    <row r="6353" spans="1:1" ht="18.75" customHeight="1">
      <c r="A6353"/>
    </row>
    <row r="6354" spans="1:1" ht="18.75" customHeight="1">
      <c r="A6354"/>
    </row>
    <row r="6355" spans="1:1" ht="18.75" customHeight="1">
      <c r="A6355"/>
    </row>
    <row r="6356" spans="1:1" ht="18.75" customHeight="1">
      <c r="A6356"/>
    </row>
    <row r="6357" spans="1:1" ht="18.75" customHeight="1">
      <c r="A6357"/>
    </row>
    <row r="6358" spans="1:1" ht="18.75" customHeight="1">
      <c r="A6358"/>
    </row>
    <row r="6359" spans="1:1" ht="18.75" customHeight="1">
      <c r="A6359"/>
    </row>
    <row r="6360" spans="1:1" ht="18.75" customHeight="1">
      <c r="A6360"/>
    </row>
    <row r="6361" spans="1:1" ht="18.75" customHeight="1">
      <c r="A6361"/>
    </row>
    <row r="6362" spans="1:1" ht="18.75" customHeight="1">
      <c r="A6362"/>
    </row>
    <row r="6363" spans="1:1" ht="18.75" customHeight="1">
      <c r="A6363"/>
    </row>
    <row r="6364" spans="1:1" ht="18.75" customHeight="1">
      <c r="A6364"/>
    </row>
    <row r="6365" spans="1:1" ht="18.75" customHeight="1">
      <c r="A6365"/>
    </row>
    <row r="6366" spans="1:1" ht="18.75" customHeight="1">
      <c r="A6366"/>
    </row>
    <row r="6367" spans="1:1" ht="18.75" customHeight="1">
      <c r="A6367"/>
    </row>
    <row r="6368" spans="1:1" ht="18.75" customHeight="1">
      <c r="A6368"/>
    </row>
    <row r="6369" spans="1:1" ht="18.75" customHeight="1">
      <c r="A6369"/>
    </row>
    <row r="6370" spans="1:1" ht="18.75" customHeight="1">
      <c r="A6370"/>
    </row>
    <row r="6371" spans="1:1" ht="18.75" customHeight="1">
      <c r="A6371"/>
    </row>
    <row r="6372" spans="1:1" ht="18.75" customHeight="1">
      <c r="A6372"/>
    </row>
    <row r="6373" spans="1:1" ht="18.75" customHeight="1">
      <c r="A6373"/>
    </row>
    <row r="6374" spans="1:1" ht="18.75" customHeight="1">
      <c r="A6374"/>
    </row>
    <row r="6375" spans="1:1" ht="18.75" customHeight="1">
      <c r="A6375"/>
    </row>
    <row r="6376" spans="1:1" ht="18.75" customHeight="1">
      <c r="A6376"/>
    </row>
    <row r="6377" spans="1:1" ht="18.75" customHeight="1">
      <c r="A6377"/>
    </row>
    <row r="6378" spans="1:1" ht="18.75" customHeight="1">
      <c r="A6378"/>
    </row>
    <row r="6379" spans="1:1" ht="18.75" customHeight="1">
      <c r="A6379"/>
    </row>
    <row r="6380" spans="1:1" ht="18.75" customHeight="1">
      <c r="A6380"/>
    </row>
    <row r="6381" spans="1:1" ht="18.75" customHeight="1">
      <c r="A6381"/>
    </row>
    <row r="6382" spans="1:1" ht="18.75" customHeight="1">
      <c r="A6382"/>
    </row>
    <row r="6383" spans="1:1" ht="18.75" customHeight="1">
      <c r="A6383"/>
    </row>
    <row r="6384" spans="1:1" ht="18.75" customHeight="1">
      <c r="A6384"/>
    </row>
    <row r="6385" spans="1:1" ht="18.75" customHeight="1">
      <c r="A6385"/>
    </row>
    <row r="6386" spans="1:1" ht="18.75" customHeight="1">
      <c r="A6386"/>
    </row>
    <row r="6387" spans="1:1" ht="18.75" customHeight="1">
      <c r="A6387"/>
    </row>
    <row r="6388" spans="1:1" ht="18.75" customHeight="1">
      <c r="A6388"/>
    </row>
    <row r="6389" spans="1:1" ht="18.75" customHeight="1">
      <c r="A6389"/>
    </row>
    <row r="6390" spans="1:1" ht="18.75" customHeight="1">
      <c r="A6390"/>
    </row>
    <row r="6391" spans="1:1" ht="18.75" customHeight="1">
      <c r="A6391"/>
    </row>
    <row r="6392" spans="1:1" ht="18.75" customHeight="1">
      <c r="A6392"/>
    </row>
    <row r="6393" spans="1:1" ht="18.75" customHeight="1">
      <c r="A6393"/>
    </row>
    <row r="6394" spans="1:1" ht="18.75" customHeight="1">
      <c r="A6394"/>
    </row>
    <row r="6395" spans="1:1" ht="18.75" customHeight="1">
      <c r="A6395"/>
    </row>
    <row r="6396" spans="1:1" ht="18.75" customHeight="1">
      <c r="A6396"/>
    </row>
    <row r="6397" spans="1:1" ht="18.75" customHeight="1">
      <c r="A6397"/>
    </row>
    <row r="6398" spans="1:1" ht="18.75" customHeight="1">
      <c r="A6398"/>
    </row>
    <row r="6399" spans="1:1" ht="18.75" customHeight="1">
      <c r="A6399"/>
    </row>
    <row r="6400" spans="1:1" ht="18.75" customHeight="1">
      <c r="A6400"/>
    </row>
    <row r="6401" spans="1:1" ht="18.75" customHeight="1">
      <c r="A6401"/>
    </row>
    <row r="6402" spans="1:1" ht="18.75" customHeight="1">
      <c r="A6402"/>
    </row>
    <row r="6403" spans="1:1" ht="18.75" customHeight="1">
      <c r="A6403"/>
    </row>
    <row r="6404" spans="1:1" ht="18.75" customHeight="1">
      <c r="A6404"/>
    </row>
    <row r="6405" spans="1:1" ht="18.75" customHeight="1">
      <c r="A6405"/>
    </row>
    <row r="6406" spans="1:1" ht="18.75" customHeight="1">
      <c r="A6406"/>
    </row>
    <row r="6407" spans="1:1" ht="18.75" customHeight="1">
      <c r="A6407"/>
    </row>
    <row r="6408" spans="1:1" ht="18.75" customHeight="1">
      <c r="A6408"/>
    </row>
    <row r="6409" spans="1:1" ht="18.75" customHeight="1">
      <c r="A6409"/>
    </row>
    <row r="6410" spans="1:1" ht="18.75" customHeight="1">
      <c r="A6410"/>
    </row>
    <row r="6411" spans="1:1" ht="18.75" customHeight="1">
      <c r="A6411"/>
    </row>
    <row r="6412" spans="1:1" ht="18.75" customHeight="1">
      <c r="A6412"/>
    </row>
    <row r="6413" spans="1:1" ht="18.75" customHeight="1">
      <c r="A6413"/>
    </row>
    <row r="6414" spans="1:1" ht="18.75" customHeight="1">
      <c r="A6414"/>
    </row>
    <row r="6415" spans="1:1" ht="18.75" customHeight="1">
      <c r="A6415"/>
    </row>
    <row r="6416" spans="1:1" ht="18.75" customHeight="1">
      <c r="A6416"/>
    </row>
    <row r="6417" spans="1:1" ht="18.75" customHeight="1">
      <c r="A6417"/>
    </row>
    <row r="6418" spans="1:1" ht="18.75" customHeight="1">
      <c r="A6418"/>
    </row>
    <row r="6419" spans="1:1" ht="18.75" customHeight="1">
      <c r="A6419"/>
    </row>
    <row r="6420" spans="1:1" ht="18.75" customHeight="1">
      <c r="A6420"/>
    </row>
    <row r="6421" spans="1:1" ht="18.75" customHeight="1">
      <c r="A6421"/>
    </row>
    <row r="6422" spans="1:1" ht="18.75" customHeight="1">
      <c r="A6422"/>
    </row>
    <row r="6423" spans="1:1" ht="18.75" customHeight="1">
      <c r="A6423"/>
    </row>
    <row r="6424" spans="1:1" ht="18.75" customHeight="1">
      <c r="A6424"/>
    </row>
    <row r="6425" spans="1:1" ht="18.75" customHeight="1">
      <c r="A6425"/>
    </row>
    <row r="6426" spans="1:1" ht="18.75" customHeight="1">
      <c r="A6426"/>
    </row>
    <row r="6427" spans="1:1" ht="18.75" customHeight="1">
      <c r="A6427"/>
    </row>
    <row r="6428" spans="1:1" ht="18.75" customHeight="1">
      <c r="A6428"/>
    </row>
    <row r="6429" spans="1:1" ht="18.75" customHeight="1">
      <c r="A6429"/>
    </row>
    <row r="6430" spans="1:1" ht="18.75" customHeight="1">
      <c r="A6430"/>
    </row>
    <row r="6431" spans="1:1" ht="18.75" customHeight="1">
      <c r="A6431"/>
    </row>
    <row r="6432" spans="1:1" ht="18.75" customHeight="1">
      <c r="A6432"/>
    </row>
    <row r="6433" spans="1:1" ht="18.75" customHeight="1">
      <c r="A6433"/>
    </row>
    <row r="6434" spans="1:1" ht="18.75" customHeight="1">
      <c r="A6434"/>
    </row>
    <row r="6435" spans="1:1" ht="18.75" customHeight="1">
      <c r="A6435"/>
    </row>
    <row r="6436" spans="1:1" ht="18.75" customHeight="1">
      <c r="A6436"/>
    </row>
    <row r="6437" spans="1:1" ht="18.75" customHeight="1">
      <c r="A6437"/>
    </row>
    <row r="6438" spans="1:1" ht="18.75" customHeight="1">
      <c r="A6438"/>
    </row>
    <row r="6439" spans="1:1" ht="18.75" customHeight="1">
      <c r="A6439"/>
    </row>
    <row r="6440" spans="1:1" ht="18.75" customHeight="1">
      <c r="A6440"/>
    </row>
    <row r="6441" spans="1:1" ht="18.75" customHeight="1">
      <c r="A6441"/>
    </row>
    <row r="6442" spans="1:1" ht="18.75" customHeight="1">
      <c r="A6442"/>
    </row>
    <row r="6443" spans="1:1" ht="18.75" customHeight="1">
      <c r="A6443"/>
    </row>
    <row r="6444" spans="1:1" ht="18.75" customHeight="1">
      <c r="A6444"/>
    </row>
    <row r="6445" spans="1:1" ht="18.75" customHeight="1">
      <c r="A6445"/>
    </row>
    <row r="6446" spans="1:1" ht="18.75" customHeight="1">
      <c r="A6446"/>
    </row>
    <row r="6447" spans="1:1" ht="18.75" customHeight="1">
      <c r="A6447"/>
    </row>
    <row r="6448" spans="1:1" ht="18.75" customHeight="1">
      <c r="A6448"/>
    </row>
    <row r="6449" spans="1:1" ht="18.75" customHeight="1">
      <c r="A6449"/>
    </row>
    <row r="6450" spans="1:1" ht="18.75" customHeight="1">
      <c r="A6450"/>
    </row>
    <row r="6451" spans="1:1" ht="18.75" customHeight="1">
      <c r="A6451"/>
    </row>
    <row r="6452" spans="1:1" ht="18.75" customHeight="1">
      <c r="A6452"/>
    </row>
    <row r="6453" spans="1:1" ht="18.75" customHeight="1">
      <c r="A6453"/>
    </row>
    <row r="6454" spans="1:1" ht="18.75" customHeight="1">
      <c r="A6454"/>
    </row>
    <row r="6455" spans="1:1" ht="18.75" customHeight="1">
      <c r="A6455"/>
    </row>
    <row r="6456" spans="1:1" ht="18.75" customHeight="1">
      <c r="A6456"/>
    </row>
    <row r="6457" spans="1:1" ht="18.75" customHeight="1">
      <c r="A6457"/>
    </row>
    <row r="6458" spans="1:1" ht="18.75" customHeight="1">
      <c r="A6458"/>
    </row>
    <row r="6459" spans="1:1" ht="18.75" customHeight="1">
      <c r="A6459"/>
    </row>
    <row r="6460" spans="1:1" ht="18.75" customHeight="1">
      <c r="A6460"/>
    </row>
    <row r="6461" spans="1:1" ht="18.75" customHeight="1">
      <c r="A6461"/>
    </row>
    <row r="6462" spans="1:1" ht="18.75" customHeight="1">
      <c r="A6462"/>
    </row>
    <row r="6463" spans="1:1" ht="18.75" customHeight="1">
      <c r="A6463"/>
    </row>
    <row r="6464" spans="1:1" ht="18.75" customHeight="1">
      <c r="A6464"/>
    </row>
    <row r="6465" spans="1:1" ht="18.75" customHeight="1">
      <c r="A6465"/>
    </row>
    <row r="6466" spans="1:1" ht="18.75" customHeight="1">
      <c r="A6466"/>
    </row>
    <row r="6467" spans="1:1" ht="18.75" customHeight="1">
      <c r="A6467"/>
    </row>
    <row r="6468" spans="1:1" ht="18.75" customHeight="1">
      <c r="A6468"/>
    </row>
    <row r="6469" spans="1:1" ht="18.75" customHeight="1">
      <c r="A6469"/>
    </row>
    <row r="6470" spans="1:1" ht="18.75" customHeight="1">
      <c r="A6470"/>
    </row>
    <row r="6471" spans="1:1" ht="18.75" customHeight="1">
      <c r="A6471"/>
    </row>
    <row r="6472" spans="1:1" ht="18.75" customHeight="1">
      <c r="A6472"/>
    </row>
    <row r="6473" spans="1:1" ht="18.75" customHeight="1">
      <c r="A6473"/>
    </row>
    <row r="6474" spans="1:1" ht="18.75" customHeight="1">
      <c r="A6474"/>
    </row>
    <row r="6475" spans="1:1" ht="18.75" customHeight="1">
      <c r="A6475"/>
    </row>
    <row r="6476" spans="1:1" ht="18.75" customHeight="1">
      <c r="A6476"/>
    </row>
    <row r="6477" spans="1:1" ht="18.75" customHeight="1">
      <c r="A6477"/>
    </row>
    <row r="6478" spans="1:1" ht="18.75" customHeight="1">
      <c r="A6478"/>
    </row>
    <row r="6479" spans="1:1" ht="18.75" customHeight="1">
      <c r="A6479"/>
    </row>
    <row r="6480" spans="1:1" ht="18.75" customHeight="1">
      <c r="A6480"/>
    </row>
    <row r="6481" spans="1:1" ht="18.75" customHeight="1">
      <c r="A6481"/>
    </row>
    <row r="6482" spans="1:1" ht="18.75" customHeight="1">
      <c r="A6482"/>
    </row>
    <row r="6483" spans="1:1" ht="18.75" customHeight="1">
      <c r="A6483"/>
    </row>
    <row r="6484" spans="1:1" ht="18.75" customHeight="1">
      <c r="A6484"/>
    </row>
    <row r="6485" spans="1:1" ht="18.75" customHeight="1">
      <c r="A6485"/>
    </row>
    <row r="6486" spans="1:1" ht="18.75" customHeight="1">
      <c r="A6486"/>
    </row>
    <row r="6487" spans="1:1" ht="18.75" customHeight="1">
      <c r="A6487"/>
    </row>
    <row r="6488" spans="1:1" ht="18.75" customHeight="1">
      <c r="A6488"/>
    </row>
    <row r="6489" spans="1:1" ht="18.75" customHeight="1">
      <c r="A6489"/>
    </row>
    <row r="6490" spans="1:1" ht="18.75" customHeight="1">
      <c r="A6490"/>
    </row>
    <row r="6491" spans="1:1" ht="18.75" customHeight="1">
      <c r="A6491"/>
    </row>
    <row r="6492" spans="1:1" ht="18.75" customHeight="1">
      <c r="A6492"/>
    </row>
    <row r="6493" spans="1:1" ht="18.75" customHeight="1">
      <c r="A6493"/>
    </row>
    <row r="6494" spans="1:1" ht="18.75" customHeight="1">
      <c r="A6494"/>
    </row>
    <row r="6495" spans="1:1" ht="18.75" customHeight="1">
      <c r="A6495"/>
    </row>
    <row r="6496" spans="1:1" ht="18.75" customHeight="1">
      <c r="A6496"/>
    </row>
    <row r="6497" spans="1:1" ht="18.75" customHeight="1">
      <c r="A6497"/>
    </row>
    <row r="6498" spans="1:1" ht="18.75" customHeight="1">
      <c r="A6498"/>
    </row>
    <row r="6499" spans="1:1" ht="18.75" customHeight="1">
      <c r="A6499"/>
    </row>
    <row r="6500" spans="1:1" ht="18.75" customHeight="1">
      <c r="A6500"/>
    </row>
    <row r="6501" spans="1:1" ht="18.75" customHeight="1">
      <c r="A6501"/>
    </row>
    <row r="6502" spans="1:1" ht="18.75" customHeight="1">
      <c r="A6502"/>
    </row>
    <row r="6503" spans="1:1" ht="18.75" customHeight="1">
      <c r="A6503"/>
    </row>
    <row r="6504" spans="1:1" ht="18.75" customHeight="1">
      <c r="A6504"/>
    </row>
    <row r="6505" spans="1:1" ht="18.75" customHeight="1">
      <c r="A6505"/>
    </row>
    <row r="6506" spans="1:1" ht="18.75" customHeight="1">
      <c r="A6506"/>
    </row>
    <row r="6507" spans="1:1" ht="18.75" customHeight="1">
      <c r="A6507"/>
    </row>
    <row r="6508" spans="1:1" ht="18.75" customHeight="1">
      <c r="A6508"/>
    </row>
    <row r="6509" spans="1:1" ht="18.75" customHeight="1">
      <c r="A6509"/>
    </row>
    <row r="6510" spans="1:1" ht="18.75" customHeight="1">
      <c r="A6510"/>
    </row>
    <row r="6511" spans="1:1" ht="18.75" customHeight="1">
      <c r="A6511"/>
    </row>
    <row r="6512" spans="1:1" ht="18.75" customHeight="1">
      <c r="A6512"/>
    </row>
    <row r="6513" spans="1:1" ht="18.75" customHeight="1">
      <c r="A6513"/>
    </row>
    <row r="6514" spans="1:1" ht="18.75" customHeight="1">
      <c r="A6514"/>
    </row>
    <row r="6515" spans="1:1" ht="18.75" customHeight="1">
      <c r="A6515"/>
    </row>
    <row r="6516" spans="1:1" ht="18.75" customHeight="1">
      <c r="A6516"/>
    </row>
    <row r="6517" spans="1:1" ht="18.75" customHeight="1">
      <c r="A6517"/>
    </row>
    <row r="6518" spans="1:1" ht="18.75" customHeight="1">
      <c r="A6518"/>
    </row>
    <row r="6519" spans="1:1" ht="18.75" customHeight="1">
      <c r="A6519"/>
    </row>
    <row r="6520" spans="1:1" ht="18.75" customHeight="1">
      <c r="A6520"/>
    </row>
    <row r="6521" spans="1:1" ht="18.75" customHeight="1">
      <c r="A6521"/>
    </row>
    <row r="6522" spans="1:1" ht="18.75" customHeight="1">
      <c r="A6522"/>
    </row>
    <row r="6523" spans="1:1" ht="18.75" customHeight="1">
      <c r="A6523"/>
    </row>
    <row r="6524" spans="1:1" ht="18.75" customHeight="1">
      <c r="A6524"/>
    </row>
    <row r="6525" spans="1:1" ht="18.75" customHeight="1">
      <c r="A6525"/>
    </row>
    <row r="6526" spans="1:1" ht="18.75" customHeight="1">
      <c r="A6526"/>
    </row>
    <row r="6527" spans="1:1" ht="18.75" customHeight="1">
      <c r="A6527"/>
    </row>
    <row r="6528" spans="1:1" ht="18.75" customHeight="1">
      <c r="A6528"/>
    </row>
    <row r="6529" spans="1:1" ht="18.75" customHeight="1">
      <c r="A6529"/>
    </row>
    <row r="6530" spans="1:1" ht="18.75" customHeight="1">
      <c r="A6530"/>
    </row>
    <row r="6531" spans="1:1" ht="18.75" customHeight="1">
      <c r="A6531"/>
    </row>
    <row r="6532" spans="1:1" ht="18.75" customHeight="1">
      <c r="A6532"/>
    </row>
    <row r="6533" spans="1:1" ht="18.75" customHeight="1">
      <c r="A6533"/>
    </row>
    <row r="6534" spans="1:1" ht="18.75" customHeight="1">
      <c r="A6534"/>
    </row>
    <row r="6535" spans="1:1" ht="18.75" customHeight="1">
      <c r="A6535"/>
    </row>
    <row r="6536" spans="1:1" ht="18.75" customHeight="1">
      <c r="A6536"/>
    </row>
    <row r="6537" spans="1:1" ht="18.75" customHeight="1">
      <c r="A6537"/>
    </row>
    <row r="6538" spans="1:1" ht="18.75" customHeight="1">
      <c r="A6538"/>
    </row>
    <row r="6539" spans="1:1" ht="18.75" customHeight="1">
      <c r="A6539"/>
    </row>
    <row r="6540" spans="1:1" ht="18.75" customHeight="1">
      <c r="A6540"/>
    </row>
    <row r="6541" spans="1:1" ht="18.75" customHeight="1">
      <c r="A6541"/>
    </row>
    <row r="6542" spans="1:1" ht="18.75" customHeight="1">
      <c r="A6542"/>
    </row>
    <row r="6543" spans="1:1" ht="18.75" customHeight="1">
      <c r="A6543"/>
    </row>
    <row r="6544" spans="1:1" ht="18.75" customHeight="1">
      <c r="A6544"/>
    </row>
    <row r="6545" spans="1:1" ht="18.75" customHeight="1">
      <c r="A6545"/>
    </row>
    <row r="6546" spans="1:1" ht="18.75" customHeight="1">
      <c r="A6546"/>
    </row>
    <row r="6547" spans="1:1" ht="18.75" customHeight="1">
      <c r="A6547"/>
    </row>
    <row r="6548" spans="1:1" ht="18.75" customHeight="1">
      <c r="A6548"/>
    </row>
    <row r="6549" spans="1:1" ht="18.75" customHeight="1">
      <c r="A6549"/>
    </row>
    <row r="6550" spans="1:1" ht="18.75" customHeight="1">
      <c r="A6550"/>
    </row>
    <row r="6551" spans="1:1" ht="18.75" customHeight="1">
      <c r="A6551"/>
    </row>
    <row r="6552" spans="1:1" ht="18.75" customHeight="1">
      <c r="A6552"/>
    </row>
    <row r="6553" spans="1:1" ht="18.75" customHeight="1">
      <c r="A6553"/>
    </row>
    <row r="6554" spans="1:1" ht="18.75" customHeight="1">
      <c r="A6554"/>
    </row>
    <row r="6555" spans="1:1" ht="18.75" customHeight="1">
      <c r="A6555"/>
    </row>
    <row r="6556" spans="1:1" ht="18.75" customHeight="1">
      <c r="A6556"/>
    </row>
    <row r="6557" spans="1:1" ht="18.75" customHeight="1">
      <c r="A6557"/>
    </row>
    <row r="6558" spans="1:1" ht="18.75" customHeight="1">
      <c r="A6558"/>
    </row>
    <row r="6559" spans="1:1" ht="18.75" customHeight="1">
      <c r="A6559"/>
    </row>
    <row r="6560" spans="1:1" ht="18.75" customHeight="1">
      <c r="A6560"/>
    </row>
    <row r="6561" spans="1:1" ht="18.75" customHeight="1">
      <c r="A6561"/>
    </row>
    <row r="6562" spans="1:1" ht="18.75" customHeight="1">
      <c r="A6562"/>
    </row>
    <row r="6563" spans="1:1" ht="18.75" customHeight="1">
      <c r="A6563"/>
    </row>
    <row r="6564" spans="1:1" ht="18.75" customHeight="1">
      <c r="A6564"/>
    </row>
    <row r="6565" spans="1:1" ht="18.75" customHeight="1">
      <c r="A6565"/>
    </row>
    <row r="6566" spans="1:1" ht="18.75" customHeight="1">
      <c r="A6566"/>
    </row>
    <row r="6567" spans="1:1" ht="18.75" customHeight="1">
      <c r="A6567"/>
    </row>
    <row r="6568" spans="1:1" ht="18.75" customHeight="1">
      <c r="A6568"/>
    </row>
    <row r="6569" spans="1:1" ht="18.75" customHeight="1">
      <c r="A6569"/>
    </row>
    <row r="6570" spans="1:1" ht="18.75" customHeight="1">
      <c r="A6570"/>
    </row>
    <row r="6571" spans="1:1" ht="18.75" customHeight="1">
      <c r="A6571"/>
    </row>
    <row r="6572" spans="1:1" ht="18.75" customHeight="1">
      <c r="A6572"/>
    </row>
    <row r="6573" spans="1:1" ht="18.75" customHeight="1">
      <c r="A6573"/>
    </row>
    <row r="6574" spans="1:1" ht="18.75" customHeight="1">
      <c r="A6574"/>
    </row>
    <row r="6575" spans="1:1" ht="18.75" customHeight="1">
      <c r="A6575"/>
    </row>
    <row r="6576" spans="1:1" ht="18.75" customHeight="1">
      <c r="A6576"/>
    </row>
    <row r="6577" spans="1:1" ht="18.75" customHeight="1">
      <c r="A6577"/>
    </row>
    <row r="6578" spans="1:1" ht="18.75" customHeight="1">
      <c r="A6578"/>
    </row>
    <row r="6579" spans="1:1" ht="18.75" customHeight="1">
      <c r="A6579"/>
    </row>
    <row r="6580" spans="1:1" ht="18.75" customHeight="1">
      <c r="A6580"/>
    </row>
    <row r="6581" spans="1:1" ht="18.75" customHeight="1">
      <c r="A6581"/>
    </row>
    <row r="6582" spans="1:1" ht="18.75" customHeight="1">
      <c r="A6582"/>
    </row>
    <row r="6583" spans="1:1" ht="18.75" customHeight="1">
      <c r="A6583"/>
    </row>
    <row r="6584" spans="1:1" ht="18.75" customHeight="1">
      <c r="A6584"/>
    </row>
    <row r="6585" spans="1:1" ht="18.75" customHeight="1">
      <c r="A6585"/>
    </row>
    <row r="6586" spans="1:1" ht="18.75" customHeight="1">
      <c r="A6586"/>
    </row>
    <row r="6587" spans="1:1" ht="18.75" customHeight="1">
      <c r="A6587"/>
    </row>
    <row r="6588" spans="1:1" ht="18.75" customHeight="1">
      <c r="A6588"/>
    </row>
    <row r="6589" spans="1:1" ht="18.75" customHeight="1">
      <c r="A6589"/>
    </row>
    <row r="6590" spans="1:1" ht="18.75" customHeight="1">
      <c r="A6590"/>
    </row>
    <row r="6591" spans="1:1" ht="18.75" customHeight="1">
      <c r="A6591"/>
    </row>
    <row r="6592" spans="1:1" ht="18.75" customHeight="1">
      <c r="A6592"/>
    </row>
    <row r="6593" spans="1:1" ht="18.75" customHeight="1">
      <c r="A6593"/>
    </row>
    <row r="6594" spans="1:1" ht="18.75" customHeight="1">
      <c r="A6594"/>
    </row>
    <row r="6595" spans="1:1" ht="18.75" customHeight="1">
      <c r="A6595"/>
    </row>
    <row r="6596" spans="1:1" ht="18.75" customHeight="1">
      <c r="A6596"/>
    </row>
    <row r="6597" spans="1:1" ht="18.75" customHeight="1">
      <c r="A6597"/>
    </row>
    <row r="6598" spans="1:1" ht="18.75" customHeight="1">
      <c r="A6598"/>
    </row>
    <row r="6599" spans="1:1" ht="18.75" customHeight="1">
      <c r="A6599"/>
    </row>
    <row r="6600" spans="1:1" ht="18.75" customHeight="1">
      <c r="A6600"/>
    </row>
    <row r="6601" spans="1:1" ht="18.75" customHeight="1">
      <c r="A6601"/>
    </row>
    <row r="6602" spans="1:1" ht="18.75" customHeight="1">
      <c r="A6602"/>
    </row>
    <row r="6603" spans="1:1" ht="18.75" customHeight="1">
      <c r="A6603"/>
    </row>
    <row r="6604" spans="1:1" ht="18.75" customHeight="1">
      <c r="A6604"/>
    </row>
    <row r="6605" spans="1:1" ht="18.75" customHeight="1">
      <c r="A6605"/>
    </row>
    <row r="6606" spans="1:1" ht="18.75" customHeight="1">
      <c r="A6606"/>
    </row>
    <row r="6607" spans="1:1" ht="18.75" customHeight="1">
      <c r="A6607"/>
    </row>
    <row r="6608" spans="1:1" ht="18.75" customHeight="1">
      <c r="A6608"/>
    </row>
    <row r="6609" spans="1:1" ht="18.75" customHeight="1">
      <c r="A6609"/>
    </row>
    <row r="6610" spans="1:1" ht="18.75" customHeight="1">
      <c r="A6610"/>
    </row>
    <row r="6611" spans="1:1" ht="18.75" customHeight="1">
      <c r="A6611"/>
    </row>
    <row r="6612" spans="1:1" ht="18.75" customHeight="1">
      <c r="A6612"/>
    </row>
    <row r="6613" spans="1:1" ht="18.75" customHeight="1">
      <c r="A6613"/>
    </row>
    <row r="6614" spans="1:1" ht="18.75" customHeight="1">
      <c r="A6614"/>
    </row>
    <row r="6615" spans="1:1" ht="18.75" customHeight="1">
      <c r="A6615"/>
    </row>
    <row r="6616" spans="1:1" ht="18.75" customHeight="1">
      <c r="A6616"/>
    </row>
    <row r="6617" spans="1:1" ht="18.75" customHeight="1">
      <c r="A6617"/>
    </row>
    <row r="6618" spans="1:1" ht="18.75" customHeight="1">
      <c r="A6618"/>
    </row>
    <row r="6619" spans="1:1" ht="18.75" customHeight="1">
      <c r="A6619"/>
    </row>
    <row r="6620" spans="1:1" ht="18.75" customHeight="1">
      <c r="A6620"/>
    </row>
    <row r="6621" spans="1:1" ht="18.75" customHeight="1">
      <c r="A6621"/>
    </row>
    <row r="6622" spans="1:1" ht="18.75" customHeight="1">
      <c r="A6622"/>
    </row>
    <row r="6623" spans="1:1" ht="18.75" customHeight="1">
      <c r="A6623"/>
    </row>
    <row r="6624" spans="1:1" ht="18.75" customHeight="1">
      <c r="A6624"/>
    </row>
    <row r="6625" spans="1:1" ht="18.75" customHeight="1">
      <c r="A6625"/>
    </row>
    <row r="6626" spans="1:1" ht="18.75" customHeight="1">
      <c r="A6626"/>
    </row>
    <row r="6627" spans="1:1" ht="18.75" customHeight="1">
      <c r="A6627"/>
    </row>
    <row r="6628" spans="1:1" ht="18.75" customHeight="1">
      <c r="A6628"/>
    </row>
    <row r="6629" spans="1:1" ht="18.75" customHeight="1">
      <c r="A6629"/>
    </row>
    <row r="6630" spans="1:1" ht="18.75" customHeight="1">
      <c r="A6630"/>
    </row>
    <row r="6631" spans="1:1" ht="18.75" customHeight="1">
      <c r="A6631"/>
    </row>
    <row r="6632" spans="1:1" ht="18.75" customHeight="1">
      <c r="A6632"/>
    </row>
    <row r="6633" spans="1:1" ht="18.75" customHeight="1">
      <c r="A6633"/>
    </row>
    <row r="6634" spans="1:1" ht="18.75" customHeight="1">
      <c r="A6634"/>
    </row>
    <row r="6635" spans="1:1" ht="18.75" customHeight="1">
      <c r="A6635"/>
    </row>
    <row r="6636" spans="1:1" ht="18.75" customHeight="1">
      <c r="A6636"/>
    </row>
    <row r="6637" spans="1:1" ht="18.75" customHeight="1">
      <c r="A6637"/>
    </row>
    <row r="6638" spans="1:1" ht="18.75" customHeight="1">
      <c r="A6638"/>
    </row>
    <row r="6639" spans="1:1" ht="18.75" customHeight="1">
      <c r="A6639"/>
    </row>
    <row r="6640" spans="1:1" ht="18.75" customHeight="1">
      <c r="A6640"/>
    </row>
    <row r="6641" spans="1:1" ht="18.75" customHeight="1">
      <c r="A6641"/>
    </row>
    <row r="6642" spans="1:1" ht="18.75" customHeight="1">
      <c r="A6642"/>
    </row>
    <row r="6643" spans="1:1" ht="18.75" customHeight="1">
      <c r="A6643"/>
    </row>
    <row r="6644" spans="1:1" ht="18.75" customHeight="1">
      <c r="A6644"/>
    </row>
    <row r="6645" spans="1:1" ht="18.75" customHeight="1">
      <c r="A6645"/>
    </row>
    <row r="6646" spans="1:1" ht="18.75" customHeight="1">
      <c r="A6646"/>
    </row>
    <row r="6647" spans="1:1" ht="18.75" customHeight="1">
      <c r="A6647"/>
    </row>
    <row r="6648" spans="1:1" ht="18.75" customHeight="1">
      <c r="A6648"/>
    </row>
    <row r="6649" spans="1:1" ht="18.75" customHeight="1">
      <c r="A6649"/>
    </row>
    <row r="6650" spans="1:1" ht="18.75" customHeight="1">
      <c r="A6650"/>
    </row>
    <row r="6651" spans="1:1" ht="18.75" customHeight="1">
      <c r="A6651"/>
    </row>
    <row r="6652" spans="1:1" ht="18.75" customHeight="1">
      <c r="A6652"/>
    </row>
    <row r="6653" spans="1:1" ht="18.75" customHeight="1">
      <c r="A6653"/>
    </row>
    <row r="6654" spans="1:1" ht="18.75" customHeight="1">
      <c r="A6654"/>
    </row>
    <row r="6655" spans="1:1" ht="18.75" customHeight="1">
      <c r="A6655"/>
    </row>
    <row r="6656" spans="1:1" ht="18.75" customHeight="1">
      <c r="A6656"/>
    </row>
    <row r="6657" spans="1:1" ht="18.75" customHeight="1">
      <c r="A6657"/>
    </row>
    <row r="6658" spans="1:1" ht="18.75" customHeight="1">
      <c r="A6658"/>
    </row>
    <row r="6659" spans="1:1" ht="18.75" customHeight="1">
      <c r="A6659"/>
    </row>
    <row r="6660" spans="1:1" ht="18.75" customHeight="1">
      <c r="A6660"/>
    </row>
    <row r="6661" spans="1:1" ht="18.75" customHeight="1">
      <c r="A6661"/>
    </row>
    <row r="6662" spans="1:1" ht="18.75" customHeight="1">
      <c r="A6662"/>
    </row>
    <row r="6663" spans="1:1" ht="18.75" customHeight="1">
      <c r="A6663"/>
    </row>
    <row r="6664" spans="1:1" ht="18.75" customHeight="1">
      <c r="A6664"/>
    </row>
    <row r="6665" spans="1:1" ht="18.75" customHeight="1">
      <c r="A6665"/>
    </row>
    <row r="6666" spans="1:1" ht="18.75" customHeight="1">
      <c r="A6666"/>
    </row>
    <row r="6667" spans="1:1" ht="18.75" customHeight="1">
      <c r="A6667"/>
    </row>
    <row r="6668" spans="1:1" ht="18.75" customHeight="1">
      <c r="A6668"/>
    </row>
    <row r="6669" spans="1:1" ht="18.75" customHeight="1">
      <c r="A6669"/>
    </row>
    <row r="6670" spans="1:1" ht="18.75" customHeight="1">
      <c r="A6670"/>
    </row>
    <row r="6671" spans="1:1" ht="18.75" customHeight="1">
      <c r="A6671"/>
    </row>
    <row r="6672" spans="1:1" ht="18.75" customHeight="1">
      <c r="A6672"/>
    </row>
    <row r="6673" spans="1:1" ht="18.75" customHeight="1">
      <c r="A6673"/>
    </row>
    <row r="6674" spans="1:1" ht="18.75" customHeight="1">
      <c r="A6674"/>
    </row>
    <row r="6675" spans="1:1" ht="18.75" customHeight="1">
      <c r="A6675"/>
    </row>
    <row r="6676" spans="1:1" ht="18.75" customHeight="1">
      <c r="A6676"/>
    </row>
    <row r="6677" spans="1:1" ht="18.75" customHeight="1">
      <c r="A6677"/>
    </row>
    <row r="6678" spans="1:1" ht="18.75" customHeight="1">
      <c r="A6678"/>
    </row>
    <row r="6679" spans="1:1" ht="18.75" customHeight="1">
      <c r="A6679"/>
    </row>
    <row r="6680" spans="1:1" ht="18.75" customHeight="1">
      <c r="A6680"/>
    </row>
    <row r="6681" spans="1:1" ht="18.75" customHeight="1">
      <c r="A6681"/>
    </row>
    <row r="6682" spans="1:1" ht="18.75" customHeight="1">
      <c r="A6682"/>
    </row>
    <row r="6683" spans="1:1" ht="18.75" customHeight="1">
      <c r="A6683"/>
    </row>
    <row r="6684" spans="1:1" ht="18.75" customHeight="1">
      <c r="A6684"/>
    </row>
    <row r="6685" spans="1:1" ht="18.75" customHeight="1">
      <c r="A6685"/>
    </row>
    <row r="6686" spans="1:1" ht="18.75" customHeight="1">
      <c r="A6686"/>
    </row>
    <row r="6687" spans="1:1" ht="18.75" customHeight="1">
      <c r="A6687"/>
    </row>
    <row r="6688" spans="1:1" ht="18.75" customHeight="1">
      <c r="A6688"/>
    </row>
    <row r="6689" spans="1:1" ht="18.75" customHeight="1">
      <c r="A6689"/>
    </row>
    <row r="6690" spans="1:1" ht="18.75" customHeight="1">
      <c r="A6690"/>
    </row>
    <row r="6691" spans="1:1" ht="18.75" customHeight="1">
      <c r="A6691"/>
    </row>
    <row r="6692" spans="1:1" ht="18.75" customHeight="1">
      <c r="A6692"/>
    </row>
    <row r="6693" spans="1:1" ht="18.75" customHeight="1">
      <c r="A6693"/>
    </row>
    <row r="6694" spans="1:1" ht="18.75" customHeight="1">
      <c r="A6694"/>
    </row>
    <row r="6695" spans="1:1" ht="18.75" customHeight="1">
      <c r="A6695"/>
    </row>
    <row r="6696" spans="1:1" ht="18.75" customHeight="1">
      <c r="A6696"/>
    </row>
    <row r="6697" spans="1:1" ht="18.75" customHeight="1">
      <c r="A6697"/>
    </row>
    <row r="6698" spans="1:1" ht="18.75" customHeight="1">
      <c r="A6698"/>
    </row>
    <row r="6699" spans="1:1" ht="18.75" customHeight="1">
      <c r="A6699"/>
    </row>
    <row r="6700" spans="1:1" ht="18.75" customHeight="1">
      <c r="A6700"/>
    </row>
    <row r="6701" spans="1:1" ht="18.75" customHeight="1">
      <c r="A6701"/>
    </row>
    <row r="6702" spans="1:1" ht="18.75" customHeight="1">
      <c r="A6702"/>
    </row>
    <row r="6703" spans="1:1" ht="18.75" customHeight="1">
      <c r="A6703"/>
    </row>
    <row r="6704" spans="1:1" ht="18.75" customHeight="1">
      <c r="A6704"/>
    </row>
    <row r="6705" spans="1:1" ht="18.75" customHeight="1">
      <c r="A6705"/>
    </row>
    <row r="6706" spans="1:1" ht="18.75" customHeight="1">
      <c r="A6706"/>
    </row>
    <row r="6707" spans="1:1" ht="18.75" customHeight="1">
      <c r="A6707"/>
    </row>
    <row r="6708" spans="1:1" ht="18.75" customHeight="1">
      <c r="A6708"/>
    </row>
    <row r="6709" spans="1:1" ht="18.75" customHeight="1">
      <c r="A6709"/>
    </row>
    <row r="6710" spans="1:1" ht="18.75" customHeight="1">
      <c r="A6710"/>
    </row>
    <row r="6711" spans="1:1" ht="18.75" customHeight="1">
      <c r="A6711"/>
    </row>
    <row r="6712" spans="1:1" ht="18.75" customHeight="1">
      <c r="A6712"/>
    </row>
    <row r="6713" spans="1:1" ht="18.75" customHeight="1">
      <c r="A6713"/>
    </row>
    <row r="6714" spans="1:1" ht="18.75" customHeight="1">
      <c r="A6714"/>
    </row>
    <row r="6715" spans="1:1" ht="18.75" customHeight="1">
      <c r="A6715"/>
    </row>
    <row r="6716" spans="1:1" ht="18.75" customHeight="1">
      <c r="A6716"/>
    </row>
    <row r="6717" spans="1:1" ht="18.75" customHeight="1">
      <c r="A6717"/>
    </row>
    <row r="6718" spans="1:1" ht="18.75" customHeight="1">
      <c r="A6718"/>
    </row>
    <row r="6719" spans="1:1" ht="18.75" customHeight="1">
      <c r="A6719"/>
    </row>
    <row r="6720" spans="1:1" ht="18.75" customHeight="1">
      <c r="A6720"/>
    </row>
    <row r="6721" spans="1:1" ht="18.75" customHeight="1">
      <c r="A6721"/>
    </row>
    <row r="6722" spans="1:1" ht="18.75" customHeight="1">
      <c r="A6722"/>
    </row>
    <row r="6723" spans="1:1" ht="18.75" customHeight="1">
      <c r="A6723"/>
    </row>
    <row r="6724" spans="1:1" ht="18.75" customHeight="1">
      <c r="A6724"/>
    </row>
    <row r="6725" spans="1:1" ht="18.75" customHeight="1">
      <c r="A6725"/>
    </row>
    <row r="6726" spans="1:1" ht="18.75" customHeight="1">
      <c r="A6726"/>
    </row>
    <row r="6727" spans="1:1" ht="18.75" customHeight="1">
      <c r="A6727"/>
    </row>
    <row r="6728" spans="1:1" ht="18.75" customHeight="1">
      <c r="A6728"/>
    </row>
    <row r="6729" spans="1:1" ht="18.75" customHeight="1">
      <c r="A6729"/>
    </row>
    <row r="6730" spans="1:1" ht="18.75" customHeight="1">
      <c r="A6730"/>
    </row>
    <row r="6731" spans="1:1" ht="18.75" customHeight="1">
      <c r="A6731"/>
    </row>
    <row r="6732" spans="1:1" ht="18.75" customHeight="1">
      <c r="A6732"/>
    </row>
    <row r="6733" spans="1:1" ht="18.75" customHeight="1">
      <c r="A6733"/>
    </row>
    <row r="6734" spans="1:1" ht="18.75" customHeight="1">
      <c r="A6734"/>
    </row>
    <row r="6735" spans="1:1" ht="18.75" customHeight="1">
      <c r="A6735"/>
    </row>
    <row r="6736" spans="1:1" ht="18.75" customHeight="1">
      <c r="A6736"/>
    </row>
    <row r="6737" spans="1:1" ht="18.75" customHeight="1">
      <c r="A6737"/>
    </row>
    <row r="6738" spans="1:1" ht="18.75" customHeight="1">
      <c r="A6738"/>
    </row>
    <row r="6739" spans="1:1" ht="18.75" customHeight="1">
      <c r="A6739"/>
    </row>
    <row r="6740" spans="1:1" ht="18.75" customHeight="1">
      <c r="A6740"/>
    </row>
    <row r="6741" spans="1:1" ht="18.75" customHeight="1">
      <c r="A6741"/>
    </row>
    <row r="6742" spans="1:1" ht="18.75" customHeight="1">
      <c r="A6742"/>
    </row>
    <row r="6743" spans="1:1" ht="18.75" customHeight="1">
      <c r="A6743"/>
    </row>
    <row r="6744" spans="1:1" ht="18.75" customHeight="1">
      <c r="A6744"/>
    </row>
    <row r="6745" spans="1:1" ht="18.75" customHeight="1">
      <c r="A6745"/>
    </row>
    <row r="6746" spans="1:1" ht="18.75" customHeight="1">
      <c r="A6746"/>
    </row>
    <row r="6747" spans="1:1" ht="18.75" customHeight="1">
      <c r="A6747"/>
    </row>
    <row r="6748" spans="1:1" ht="18.75" customHeight="1">
      <c r="A6748"/>
    </row>
    <row r="6749" spans="1:1" ht="18.75" customHeight="1">
      <c r="A6749"/>
    </row>
    <row r="6750" spans="1:1" ht="18.75" customHeight="1">
      <c r="A6750"/>
    </row>
    <row r="6751" spans="1:1" ht="18.75" customHeight="1">
      <c r="A6751"/>
    </row>
    <row r="6752" spans="1:1" ht="18.75" customHeight="1">
      <c r="A6752"/>
    </row>
    <row r="6753" spans="1:1" ht="18.75" customHeight="1">
      <c r="A6753"/>
    </row>
    <row r="6754" spans="1:1" ht="18.75" customHeight="1">
      <c r="A6754"/>
    </row>
    <row r="6755" spans="1:1" ht="18.75" customHeight="1">
      <c r="A6755"/>
    </row>
    <row r="6756" spans="1:1" ht="18.75" customHeight="1">
      <c r="A6756"/>
    </row>
    <row r="6757" spans="1:1" ht="18.75" customHeight="1">
      <c r="A6757"/>
    </row>
    <row r="6758" spans="1:1" ht="18.75" customHeight="1">
      <c r="A6758"/>
    </row>
    <row r="6759" spans="1:1" ht="18.75" customHeight="1">
      <c r="A6759"/>
    </row>
    <row r="6760" spans="1:1" ht="18.75" customHeight="1">
      <c r="A6760"/>
    </row>
    <row r="6761" spans="1:1" ht="18.75" customHeight="1">
      <c r="A6761"/>
    </row>
    <row r="6762" spans="1:1" ht="18.75" customHeight="1">
      <c r="A6762"/>
    </row>
    <row r="6763" spans="1:1" ht="18.75" customHeight="1">
      <c r="A6763"/>
    </row>
    <row r="6764" spans="1:1" ht="18.75" customHeight="1">
      <c r="A6764"/>
    </row>
    <row r="6765" spans="1:1" ht="18.75" customHeight="1">
      <c r="A6765"/>
    </row>
    <row r="6766" spans="1:1" ht="18.75" customHeight="1">
      <c r="A6766"/>
    </row>
    <row r="6767" spans="1:1" ht="18.75" customHeight="1">
      <c r="A6767"/>
    </row>
    <row r="6768" spans="1:1" ht="18.75" customHeight="1">
      <c r="A6768"/>
    </row>
    <row r="6769" spans="1:1" ht="18.75" customHeight="1">
      <c r="A6769"/>
    </row>
    <row r="6770" spans="1:1" ht="18.75" customHeight="1">
      <c r="A6770"/>
    </row>
    <row r="6771" spans="1:1" ht="18.75" customHeight="1">
      <c r="A6771"/>
    </row>
    <row r="6772" spans="1:1" ht="18.75" customHeight="1">
      <c r="A6772"/>
    </row>
    <row r="6773" spans="1:1" ht="18.75" customHeight="1">
      <c r="A6773"/>
    </row>
    <row r="6774" spans="1:1" ht="18.75" customHeight="1">
      <c r="A6774"/>
    </row>
    <row r="6775" spans="1:1" ht="18.75" customHeight="1">
      <c r="A6775"/>
    </row>
    <row r="6776" spans="1:1" ht="18.75" customHeight="1">
      <c r="A6776"/>
    </row>
    <row r="6777" spans="1:1" ht="18.75" customHeight="1">
      <c r="A6777"/>
    </row>
    <row r="6778" spans="1:1" ht="18.75" customHeight="1">
      <c r="A6778"/>
    </row>
    <row r="6779" spans="1:1" ht="18.75" customHeight="1">
      <c r="A6779"/>
    </row>
    <row r="6780" spans="1:1" ht="18.75" customHeight="1">
      <c r="A6780"/>
    </row>
    <row r="6781" spans="1:1" ht="18.75" customHeight="1">
      <c r="A6781"/>
    </row>
    <row r="6782" spans="1:1" ht="18.75" customHeight="1">
      <c r="A6782"/>
    </row>
    <row r="6783" spans="1:1" ht="18.75" customHeight="1">
      <c r="A6783"/>
    </row>
    <row r="6784" spans="1:1" ht="18.75" customHeight="1">
      <c r="A6784"/>
    </row>
    <row r="6785" spans="1:1" ht="18.75" customHeight="1">
      <c r="A6785"/>
    </row>
    <row r="6786" spans="1:1" ht="18.75" customHeight="1">
      <c r="A6786"/>
    </row>
    <row r="6787" spans="1:1" ht="18.75" customHeight="1">
      <c r="A6787"/>
    </row>
    <row r="6788" spans="1:1" ht="18.75" customHeight="1">
      <c r="A6788"/>
    </row>
    <row r="6789" spans="1:1" ht="18.75" customHeight="1">
      <c r="A6789"/>
    </row>
    <row r="6790" spans="1:1" ht="18.75" customHeight="1">
      <c r="A6790"/>
    </row>
    <row r="6791" spans="1:1" ht="18.75" customHeight="1">
      <c r="A6791"/>
    </row>
    <row r="6792" spans="1:1" ht="18.75" customHeight="1">
      <c r="A6792"/>
    </row>
    <row r="6793" spans="1:1" ht="18.75" customHeight="1">
      <c r="A6793"/>
    </row>
    <row r="6794" spans="1:1" ht="18.75" customHeight="1">
      <c r="A6794"/>
    </row>
    <row r="6795" spans="1:1" ht="18.75" customHeight="1">
      <c r="A6795"/>
    </row>
    <row r="6796" spans="1:1" ht="18.75" customHeight="1">
      <c r="A6796"/>
    </row>
    <row r="6797" spans="1:1" ht="18.75" customHeight="1">
      <c r="A6797"/>
    </row>
    <row r="6798" spans="1:1" ht="18.75" customHeight="1">
      <c r="A6798"/>
    </row>
    <row r="6799" spans="1:1" ht="18.75" customHeight="1">
      <c r="A6799"/>
    </row>
    <row r="6800" spans="1:1" ht="18.75" customHeight="1">
      <c r="A6800"/>
    </row>
    <row r="6801" spans="1:1" ht="18.75" customHeight="1">
      <c r="A6801"/>
    </row>
    <row r="6802" spans="1:1" ht="18.75" customHeight="1">
      <c r="A6802"/>
    </row>
    <row r="6803" spans="1:1" ht="18.75" customHeight="1">
      <c r="A6803"/>
    </row>
    <row r="6804" spans="1:1" ht="18.75" customHeight="1">
      <c r="A6804"/>
    </row>
    <row r="6805" spans="1:1" ht="18.75" customHeight="1">
      <c r="A6805"/>
    </row>
    <row r="6806" spans="1:1" ht="18.75" customHeight="1">
      <c r="A6806"/>
    </row>
    <row r="6807" spans="1:1" ht="18.75" customHeight="1">
      <c r="A6807"/>
    </row>
    <row r="6808" spans="1:1" ht="18.75" customHeight="1">
      <c r="A6808"/>
    </row>
    <row r="6809" spans="1:1" ht="18.75" customHeight="1">
      <c r="A6809"/>
    </row>
    <row r="6810" spans="1:1" ht="18.75" customHeight="1">
      <c r="A6810"/>
    </row>
    <row r="6811" spans="1:1" ht="18.75" customHeight="1">
      <c r="A6811"/>
    </row>
    <row r="6812" spans="1:1" ht="18.75" customHeight="1">
      <c r="A6812"/>
    </row>
    <row r="6813" spans="1:1" ht="18.75" customHeight="1">
      <c r="A6813"/>
    </row>
    <row r="6814" spans="1:1" ht="18.75" customHeight="1">
      <c r="A6814"/>
    </row>
    <row r="6815" spans="1:1" ht="18.75" customHeight="1">
      <c r="A6815"/>
    </row>
    <row r="6816" spans="1:1" ht="18.75" customHeight="1">
      <c r="A6816"/>
    </row>
    <row r="6817" spans="1:1" ht="18.75" customHeight="1">
      <c r="A6817"/>
    </row>
    <row r="6818" spans="1:1" ht="18.75" customHeight="1">
      <c r="A6818"/>
    </row>
    <row r="6819" spans="1:1" ht="18.75" customHeight="1">
      <c r="A6819"/>
    </row>
    <row r="6820" spans="1:1" ht="18.75" customHeight="1">
      <c r="A6820"/>
    </row>
    <row r="6821" spans="1:1" ht="18.75" customHeight="1">
      <c r="A6821"/>
    </row>
    <row r="6822" spans="1:1" ht="18.75" customHeight="1">
      <c r="A6822"/>
    </row>
    <row r="6823" spans="1:1" ht="18.75" customHeight="1">
      <c r="A6823"/>
    </row>
    <row r="6824" spans="1:1" ht="18.75" customHeight="1">
      <c r="A6824"/>
    </row>
    <row r="6825" spans="1:1" ht="18.75" customHeight="1">
      <c r="A6825"/>
    </row>
    <row r="6826" spans="1:1" ht="18.75" customHeight="1">
      <c r="A6826"/>
    </row>
    <row r="6827" spans="1:1" ht="18.75" customHeight="1">
      <c r="A6827"/>
    </row>
    <row r="6828" spans="1:1" ht="18.75" customHeight="1">
      <c r="A6828"/>
    </row>
    <row r="6829" spans="1:1" ht="18.75" customHeight="1">
      <c r="A6829"/>
    </row>
    <row r="6830" spans="1:1" ht="18.75" customHeight="1">
      <c r="A6830"/>
    </row>
    <row r="6831" spans="1:1" ht="18.75" customHeight="1">
      <c r="A6831"/>
    </row>
    <row r="6832" spans="1:1" ht="18.75" customHeight="1">
      <c r="A6832"/>
    </row>
    <row r="6833" spans="1:1" ht="18.75" customHeight="1">
      <c r="A6833"/>
    </row>
    <row r="6834" spans="1:1" ht="18.75" customHeight="1">
      <c r="A6834"/>
    </row>
    <row r="6835" spans="1:1" ht="18.75" customHeight="1">
      <c r="A6835"/>
    </row>
    <row r="6836" spans="1:1" ht="18.75" customHeight="1">
      <c r="A6836"/>
    </row>
    <row r="6837" spans="1:1" ht="18.75" customHeight="1">
      <c r="A6837"/>
    </row>
    <row r="6838" spans="1:1" ht="18.75" customHeight="1">
      <c r="A6838"/>
    </row>
    <row r="6839" spans="1:1" ht="18.75" customHeight="1">
      <c r="A6839"/>
    </row>
    <row r="6840" spans="1:1" ht="18.75" customHeight="1">
      <c r="A6840"/>
    </row>
    <row r="6841" spans="1:1" ht="18.75" customHeight="1">
      <c r="A6841"/>
    </row>
    <row r="6842" spans="1:1" ht="18.75" customHeight="1">
      <c r="A6842"/>
    </row>
    <row r="6843" spans="1:1" ht="18.75" customHeight="1">
      <c r="A6843"/>
    </row>
    <row r="6844" spans="1:1" ht="18.75" customHeight="1">
      <c r="A6844"/>
    </row>
    <row r="6845" spans="1:1" ht="18.75" customHeight="1">
      <c r="A6845"/>
    </row>
    <row r="6846" spans="1:1" ht="18.75" customHeight="1">
      <c r="A6846"/>
    </row>
    <row r="6847" spans="1:1" ht="18.75" customHeight="1">
      <c r="A6847"/>
    </row>
    <row r="6848" spans="1:1" ht="18.75" customHeight="1">
      <c r="A6848"/>
    </row>
    <row r="6849" spans="1:1" ht="18.75" customHeight="1">
      <c r="A6849"/>
    </row>
    <row r="6850" spans="1:1" ht="18.75" customHeight="1">
      <c r="A6850"/>
    </row>
    <row r="6851" spans="1:1" ht="18.75" customHeight="1">
      <c r="A6851"/>
    </row>
    <row r="6852" spans="1:1" ht="18.75" customHeight="1">
      <c r="A6852"/>
    </row>
    <row r="6853" spans="1:1" ht="18.75" customHeight="1">
      <c r="A6853"/>
    </row>
    <row r="6854" spans="1:1" ht="18.75" customHeight="1">
      <c r="A6854"/>
    </row>
    <row r="6855" spans="1:1" ht="18.75" customHeight="1">
      <c r="A6855"/>
    </row>
    <row r="6856" spans="1:1" ht="18.75" customHeight="1">
      <c r="A6856"/>
    </row>
    <row r="6857" spans="1:1" ht="18.75" customHeight="1">
      <c r="A6857"/>
    </row>
    <row r="6858" spans="1:1" ht="18.75" customHeight="1">
      <c r="A6858"/>
    </row>
    <row r="6859" spans="1:1" ht="18.75" customHeight="1">
      <c r="A6859"/>
    </row>
    <row r="6860" spans="1:1" ht="18.75" customHeight="1">
      <c r="A6860"/>
    </row>
    <row r="6861" spans="1:1" ht="18.75" customHeight="1">
      <c r="A6861"/>
    </row>
    <row r="6862" spans="1:1" ht="18.75" customHeight="1">
      <c r="A6862"/>
    </row>
    <row r="6863" spans="1:1" ht="18.75" customHeight="1">
      <c r="A6863"/>
    </row>
    <row r="6864" spans="1:1" ht="18.75" customHeight="1">
      <c r="A6864"/>
    </row>
    <row r="6865" spans="1:1" ht="18.75" customHeight="1">
      <c r="A6865"/>
    </row>
    <row r="6866" spans="1:1" ht="18.75" customHeight="1">
      <c r="A6866"/>
    </row>
    <row r="6867" spans="1:1" ht="18.75" customHeight="1">
      <c r="A6867"/>
    </row>
    <row r="6868" spans="1:1" ht="18.75" customHeight="1">
      <c r="A6868"/>
    </row>
    <row r="6869" spans="1:1" ht="18.75" customHeight="1">
      <c r="A6869"/>
    </row>
    <row r="6870" spans="1:1" ht="18.75" customHeight="1">
      <c r="A6870"/>
    </row>
    <row r="6871" spans="1:1" ht="18.75" customHeight="1">
      <c r="A6871"/>
    </row>
    <row r="6872" spans="1:1" ht="18.75" customHeight="1">
      <c r="A6872"/>
    </row>
    <row r="6873" spans="1:1" ht="18.75" customHeight="1">
      <c r="A6873"/>
    </row>
    <row r="6874" spans="1:1" ht="18.75" customHeight="1">
      <c r="A6874"/>
    </row>
    <row r="6875" spans="1:1" ht="18.75" customHeight="1">
      <c r="A6875"/>
    </row>
    <row r="6876" spans="1:1" ht="18.75" customHeight="1">
      <c r="A6876"/>
    </row>
    <row r="6877" spans="1:1" ht="18.75" customHeight="1">
      <c r="A6877"/>
    </row>
    <row r="6878" spans="1:1" ht="18.75" customHeight="1">
      <c r="A6878"/>
    </row>
    <row r="6879" spans="1:1" ht="18.75" customHeight="1">
      <c r="A6879"/>
    </row>
    <row r="6880" spans="1:1" ht="18.75" customHeight="1">
      <c r="A6880"/>
    </row>
    <row r="6881" spans="1:1" ht="18.75" customHeight="1">
      <c r="A6881"/>
    </row>
    <row r="6882" spans="1:1" ht="18.75" customHeight="1">
      <c r="A6882"/>
    </row>
    <row r="6883" spans="1:1" ht="18.75" customHeight="1">
      <c r="A6883"/>
    </row>
    <row r="6884" spans="1:1" ht="18.75" customHeight="1">
      <c r="A6884"/>
    </row>
    <row r="6885" spans="1:1" ht="18.75" customHeight="1">
      <c r="A6885"/>
    </row>
    <row r="6886" spans="1:1" ht="18.75" customHeight="1">
      <c r="A6886"/>
    </row>
    <row r="6887" spans="1:1" ht="18.75" customHeight="1">
      <c r="A6887"/>
    </row>
    <row r="6888" spans="1:1" ht="18.75" customHeight="1">
      <c r="A6888"/>
    </row>
    <row r="6889" spans="1:1" ht="18.75" customHeight="1">
      <c r="A6889"/>
    </row>
    <row r="6890" spans="1:1" ht="18.75" customHeight="1">
      <c r="A6890"/>
    </row>
    <row r="6891" spans="1:1" ht="18.75" customHeight="1">
      <c r="A6891"/>
    </row>
    <row r="6892" spans="1:1" ht="18.75" customHeight="1">
      <c r="A6892"/>
    </row>
    <row r="6893" spans="1:1" ht="18.75" customHeight="1">
      <c r="A6893"/>
    </row>
    <row r="6894" spans="1:1" ht="18.75" customHeight="1">
      <c r="A6894"/>
    </row>
    <row r="6895" spans="1:1" ht="18.75" customHeight="1">
      <c r="A6895"/>
    </row>
    <row r="6896" spans="1:1" ht="18.75" customHeight="1">
      <c r="A6896"/>
    </row>
    <row r="6897" spans="1:1" ht="18.75" customHeight="1">
      <c r="A6897"/>
    </row>
    <row r="6898" spans="1:1" ht="18.75" customHeight="1">
      <c r="A6898"/>
    </row>
    <row r="6899" spans="1:1" ht="18.75" customHeight="1">
      <c r="A6899"/>
    </row>
    <row r="6900" spans="1:1" ht="18.75" customHeight="1">
      <c r="A6900"/>
    </row>
    <row r="6901" spans="1:1" ht="18.75" customHeight="1">
      <c r="A6901"/>
    </row>
    <row r="6902" spans="1:1" ht="18.75" customHeight="1">
      <c r="A6902"/>
    </row>
    <row r="6903" spans="1:1" ht="18.75" customHeight="1">
      <c r="A6903"/>
    </row>
    <row r="6904" spans="1:1" ht="18.75" customHeight="1">
      <c r="A6904"/>
    </row>
    <row r="6905" spans="1:1" ht="18.75" customHeight="1">
      <c r="A6905"/>
    </row>
    <row r="6906" spans="1:1" ht="18.75" customHeight="1">
      <c r="A6906"/>
    </row>
    <row r="6907" spans="1:1" ht="18.75" customHeight="1">
      <c r="A6907"/>
    </row>
    <row r="6908" spans="1:1" ht="18.75" customHeight="1">
      <c r="A6908"/>
    </row>
    <row r="6909" spans="1:1" ht="18.75" customHeight="1">
      <c r="A6909"/>
    </row>
    <row r="6910" spans="1:1" ht="18.75" customHeight="1">
      <c r="A6910"/>
    </row>
    <row r="6911" spans="1:1" ht="18.75" customHeight="1">
      <c r="A6911"/>
    </row>
    <row r="6912" spans="1:1" ht="18.75" customHeight="1">
      <c r="A6912"/>
    </row>
    <row r="6913" spans="1:1" ht="18.75" customHeight="1">
      <c r="A6913"/>
    </row>
    <row r="6914" spans="1:1" ht="18.75" customHeight="1">
      <c r="A6914"/>
    </row>
    <row r="6915" spans="1:1" ht="18.75" customHeight="1">
      <c r="A6915"/>
    </row>
    <row r="6916" spans="1:1" ht="18.75" customHeight="1">
      <c r="A6916"/>
    </row>
    <row r="6917" spans="1:1" ht="18.75" customHeight="1">
      <c r="A6917"/>
    </row>
    <row r="6918" spans="1:1" ht="18.75" customHeight="1">
      <c r="A6918"/>
    </row>
    <row r="6919" spans="1:1" ht="18.75" customHeight="1">
      <c r="A6919"/>
    </row>
    <row r="6920" spans="1:1" ht="18.75" customHeight="1">
      <c r="A6920"/>
    </row>
    <row r="6921" spans="1:1" ht="18.75" customHeight="1">
      <c r="A6921"/>
    </row>
    <row r="6922" spans="1:1" ht="18.75" customHeight="1">
      <c r="A6922"/>
    </row>
    <row r="6923" spans="1:1" ht="18.75" customHeight="1">
      <c r="A6923"/>
    </row>
    <row r="6924" spans="1:1" ht="18.75" customHeight="1">
      <c r="A6924"/>
    </row>
    <row r="6925" spans="1:1" ht="18.75" customHeight="1">
      <c r="A6925"/>
    </row>
    <row r="6926" spans="1:1" ht="18.75" customHeight="1">
      <c r="A6926"/>
    </row>
    <row r="6927" spans="1:1" ht="18.75" customHeight="1">
      <c r="A6927"/>
    </row>
    <row r="6928" spans="1:1" ht="18.75" customHeight="1">
      <c r="A6928"/>
    </row>
    <row r="6929" spans="1:1" ht="18.75" customHeight="1">
      <c r="A6929"/>
    </row>
    <row r="6930" spans="1:1" ht="18.75" customHeight="1">
      <c r="A6930"/>
    </row>
    <row r="6931" spans="1:1" ht="18.75" customHeight="1">
      <c r="A6931"/>
    </row>
    <row r="6932" spans="1:1" ht="18.75" customHeight="1">
      <c r="A6932"/>
    </row>
    <row r="6933" spans="1:1" ht="18.75" customHeight="1">
      <c r="A6933"/>
    </row>
    <row r="6934" spans="1:1" ht="18.75" customHeight="1">
      <c r="A6934"/>
    </row>
    <row r="6935" spans="1:1" ht="18.75" customHeight="1">
      <c r="A6935"/>
    </row>
    <row r="6936" spans="1:1" ht="18.75" customHeight="1">
      <c r="A6936"/>
    </row>
    <row r="6937" spans="1:1" ht="18.75" customHeight="1">
      <c r="A6937"/>
    </row>
    <row r="6938" spans="1:1" ht="18.75" customHeight="1">
      <c r="A6938"/>
    </row>
    <row r="6939" spans="1:1" ht="18.75" customHeight="1">
      <c r="A6939"/>
    </row>
    <row r="6940" spans="1:1" ht="18.75" customHeight="1">
      <c r="A6940"/>
    </row>
    <row r="6941" spans="1:1" ht="18.75" customHeight="1">
      <c r="A6941"/>
    </row>
    <row r="6942" spans="1:1" ht="18.75" customHeight="1">
      <c r="A6942"/>
    </row>
    <row r="6943" spans="1:1" ht="18.75" customHeight="1">
      <c r="A6943"/>
    </row>
    <row r="6944" spans="1:1" ht="18.75" customHeight="1">
      <c r="A6944"/>
    </row>
    <row r="6945" spans="1:1" ht="18.75" customHeight="1">
      <c r="A6945"/>
    </row>
    <row r="6946" spans="1:1" ht="18.75" customHeight="1">
      <c r="A6946"/>
    </row>
    <row r="6947" spans="1:1" ht="18.75" customHeight="1">
      <c r="A6947"/>
    </row>
    <row r="6948" spans="1:1" ht="18.75" customHeight="1">
      <c r="A6948"/>
    </row>
    <row r="6949" spans="1:1" ht="18.75" customHeight="1">
      <c r="A6949"/>
    </row>
    <row r="6950" spans="1:1" ht="18.75" customHeight="1">
      <c r="A6950"/>
    </row>
    <row r="6951" spans="1:1" ht="18.75" customHeight="1">
      <c r="A6951"/>
    </row>
    <row r="6952" spans="1:1" ht="18.75" customHeight="1">
      <c r="A6952"/>
    </row>
    <row r="6953" spans="1:1" ht="18.75" customHeight="1">
      <c r="A6953"/>
    </row>
    <row r="6954" spans="1:1" ht="18.75" customHeight="1">
      <c r="A6954"/>
    </row>
    <row r="6955" spans="1:1" ht="18.75" customHeight="1">
      <c r="A6955"/>
    </row>
    <row r="6956" spans="1:1" ht="18.75" customHeight="1">
      <c r="A6956"/>
    </row>
    <row r="6957" spans="1:1" ht="18.75" customHeight="1">
      <c r="A6957"/>
    </row>
    <row r="6958" spans="1:1" ht="18.75" customHeight="1">
      <c r="A6958"/>
    </row>
    <row r="6959" spans="1:1" ht="18.75" customHeight="1">
      <c r="A6959"/>
    </row>
    <row r="6960" spans="1:1" ht="18.75" customHeight="1">
      <c r="A6960"/>
    </row>
    <row r="6961" spans="1:1" ht="18.75" customHeight="1">
      <c r="A6961"/>
    </row>
    <row r="6962" spans="1:1" ht="18.75" customHeight="1">
      <c r="A6962"/>
    </row>
    <row r="6963" spans="1:1" ht="18.75" customHeight="1">
      <c r="A6963"/>
    </row>
    <row r="6964" spans="1:1" ht="18.75" customHeight="1">
      <c r="A6964"/>
    </row>
    <row r="6965" spans="1:1" ht="18.75" customHeight="1">
      <c r="A6965"/>
    </row>
    <row r="6966" spans="1:1" ht="18.75" customHeight="1">
      <c r="A6966"/>
    </row>
    <row r="6967" spans="1:1" ht="18.75" customHeight="1">
      <c r="A6967"/>
    </row>
    <row r="6968" spans="1:1" ht="18.75" customHeight="1">
      <c r="A6968"/>
    </row>
    <row r="6969" spans="1:1" ht="18.75" customHeight="1">
      <c r="A6969"/>
    </row>
    <row r="6970" spans="1:1" ht="18.75" customHeight="1">
      <c r="A6970"/>
    </row>
    <row r="6971" spans="1:1" ht="18.75" customHeight="1">
      <c r="A6971"/>
    </row>
    <row r="6972" spans="1:1" ht="18.75" customHeight="1">
      <c r="A6972"/>
    </row>
    <row r="6973" spans="1:1" ht="18.75" customHeight="1">
      <c r="A6973"/>
    </row>
    <row r="6974" spans="1:1" ht="18.75" customHeight="1">
      <c r="A6974"/>
    </row>
    <row r="6975" spans="1:1" ht="18.75" customHeight="1">
      <c r="A6975"/>
    </row>
    <row r="6976" spans="1:1" ht="18.75" customHeight="1">
      <c r="A6976"/>
    </row>
    <row r="6977" spans="1:1" ht="18.75" customHeight="1">
      <c r="A6977"/>
    </row>
    <row r="6978" spans="1:1" ht="18.75" customHeight="1">
      <c r="A6978"/>
    </row>
    <row r="6979" spans="1:1" ht="18.75" customHeight="1">
      <c r="A6979"/>
    </row>
    <row r="6980" spans="1:1" ht="18.75" customHeight="1">
      <c r="A6980"/>
    </row>
    <row r="6981" spans="1:1" ht="18.75" customHeight="1">
      <c r="A6981"/>
    </row>
    <row r="6982" spans="1:1" ht="18.75" customHeight="1">
      <c r="A6982"/>
    </row>
    <row r="6983" spans="1:1" ht="18.75" customHeight="1">
      <c r="A6983"/>
    </row>
    <row r="6984" spans="1:1" ht="18.75" customHeight="1">
      <c r="A6984"/>
    </row>
    <row r="6985" spans="1:1" ht="18.75" customHeight="1">
      <c r="A6985"/>
    </row>
    <row r="6986" spans="1:1" ht="18.75" customHeight="1">
      <c r="A6986"/>
    </row>
    <row r="6987" spans="1:1" ht="18.75" customHeight="1">
      <c r="A6987"/>
    </row>
    <row r="6988" spans="1:1" ht="18.75" customHeight="1">
      <c r="A6988"/>
    </row>
    <row r="6989" spans="1:1" ht="18.75" customHeight="1">
      <c r="A6989"/>
    </row>
    <row r="6990" spans="1:1" ht="18.75" customHeight="1">
      <c r="A6990"/>
    </row>
    <row r="6991" spans="1:1" ht="18.75" customHeight="1">
      <c r="A6991"/>
    </row>
    <row r="6992" spans="1:1" ht="18.75" customHeight="1">
      <c r="A6992"/>
    </row>
    <row r="6993" spans="1:1" ht="18.75" customHeight="1">
      <c r="A6993"/>
    </row>
    <row r="6994" spans="1:1" ht="18.75" customHeight="1">
      <c r="A6994"/>
    </row>
    <row r="6995" spans="1:1" ht="18.75" customHeight="1">
      <c r="A6995"/>
    </row>
    <row r="6996" spans="1:1" ht="18.75" customHeight="1">
      <c r="A6996"/>
    </row>
    <row r="6997" spans="1:1" ht="18.75" customHeight="1">
      <c r="A6997"/>
    </row>
    <row r="6998" spans="1:1" ht="18.75" customHeight="1">
      <c r="A6998"/>
    </row>
    <row r="6999" spans="1:1" ht="18.75" customHeight="1">
      <c r="A6999"/>
    </row>
    <row r="7000" spans="1:1" ht="18.75" customHeight="1">
      <c r="A7000"/>
    </row>
    <row r="7001" spans="1:1" ht="18.75" customHeight="1">
      <c r="A7001"/>
    </row>
    <row r="7002" spans="1:1" ht="18.75" customHeight="1">
      <c r="A7002"/>
    </row>
    <row r="7003" spans="1:1" ht="18.75" customHeight="1">
      <c r="A7003"/>
    </row>
    <row r="7004" spans="1:1" ht="18.75" customHeight="1">
      <c r="A7004"/>
    </row>
    <row r="7005" spans="1:1" ht="18.75" customHeight="1">
      <c r="A7005"/>
    </row>
    <row r="7006" spans="1:1" ht="18.75" customHeight="1">
      <c r="A7006"/>
    </row>
    <row r="7007" spans="1:1" ht="18.75" customHeight="1">
      <c r="A7007"/>
    </row>
    <row r="7008" spans="1:1" ht="18.75" customHeight="1">
      <c r="A7008"/>
    </row>
    <row r="7009" spans="1:1" ht="18.75" customHeight="1">
      <c r="A7009"/>
    </row>
    <row r="7010" spans="1:1" ht="18.75" customHeight="1">
      <c r="A7010"/>
    </row>
    <row r="7011" spans="1:1" ht="18.75" customHeight="1">
      <c r="A7011"/>
    </row>
    <row r="7012" spans="1:1" ht="18.75" customHeight="1">
      <c r="A7012"/>
    </row>
    <row r="7013" spans="1:1" ht="18.75" customHeight="1">
      <c r="A7013"/>
    </row>
    <row r="7014" spans="1:1" ht="18.75" customHeight="1">
      <c r="A7014"/>
    </row>
    <row r="7015" spans="1:1" ht="18.75" customHeight="1">
      <c r="A7015"/>
    </row>
    <row r="7016" spans="1:1" ht="18.75" customHeight="1">
      <c r="A7016"/>
    </row>
    <row r="7017" spans="1:1" ht="18.75" customHeight="1">
      <c r="A7017"/>
    </row>
    <row r="7018" spans="1:1" ht="18.75" customHeight="1">
      <c r="A7018"/>
    </row>
    <row r="7019" spans="1:1" ht="18.75" customHeight="1">
      <c r="A7019"/>
    </row>
    <row r="7020" spans="1:1" ht="18.75" customHeight="1">
      <c r="A7020"/>
    </row>
    <row r="7021" spans="1:1" ht="18.75" customHeight="1">
      <c r="A7021"/>
    </row>
    <row r="7022" spans="1:1" ht="18.75" customHeight="1">
      <c r="A7022"/>
    </row>
    <row r="7023" spans="1:1" ht="18.75" customHeight="1">
      <c r="A7023"/>
    </row>
    <row r="7024" spans="1:1" ht="18.75" customHeight="1">
      <c r="A7024"/>
    </row>
    <row r="7025" spans="1:1" ht="18.75" customHeight="1">
      <c r="A7025"/>
    </row>
    <row r="7026" spans="1:1" ht="18.75" customHeight="1">
      <c r="A7026"/>
    </row>
    <row r="7027" spans="1:1" ht="18.75" customHeight="1">
      <c r="A7027"/>
    </row>
    <row r="7028" spans="1:1" ht="18.75" customHeight="1">
      <c r="A7028"/>
    </row>
    <row r="7029" spans="1:1" ht="18.75" customHeight="1">
      <c r="A7029"/>
    </row>
    <row r="7030" spans="1:1" ht="18.75" customHeight="1">
      <c r="A7030"/>
    </row>
    <row r="7031" spans="1:1" ht="18.75" customHeight="1">
      <c r="A7031"/>
    </row>
    <row r="7032" spans="1:1" ht="18.75" customHeight="1">
      <c r="A7032"/>
    </row>
    <row r="7033" spans="1:1" ht="18.75" customHeight="1">
      <c r="A7033"/>
    </row>
    <row r="7034" spans="1:1" ht="18.75" customHeight="1">
      <c r="A7034"/>
    </row>
    <row r="7035" spans="1:1" ht="18.75" customHeight="1">
      <c r="A7035"/>
    </row>
    <row r="7036" spans="1:1" ht="18.75" customHeight="1">
      <c r="A7036"/>
    </row>
    <row r="7037" spans="1:1" ht="18.75" customHeight="1">
      <c r="A7037"/>
    </row>
    <row r="7038" spans="1:1" ht="18.75" customHeight="1">
      <c r="A7038"/>
    </row>
    <row r="7039" spans="1:1" ht="18.75" customHeight="1">
      <c r="A7039"/>
    </row>
    <row r="7040" spans="1:1" ht="18.75" customHeight="1">
      <c r="A7040"/>
    </row>
    <row r="7041" spans="1:1" ht="18.75" customHeight="1">
      <c r="A7041"/>
    </row>
    <row r="7042" spans="1:1" ht="18.75" customHeight="1">
      <c r="A7042"/>
    </row>
    <row r="7043" spans="1:1" ht="18.75" customHeight="1">
      <c r="A7043"/>
    </row>
    <row r="7044" spans="1:1" ht="18.75" customHeight="1">
      <c r="A7044"/>
    </row>
    <row r="7045" spans="1:1" ht="18.75" customHeight="1">
      <c r="A7045"/>
    </row>
    <row r="7046" spans="1:1" ht="18.75" customHeight="1">
      <c r="A7046"/>
    </row>
    <row r="7047" spans="1:1" ht="18.75" customHeight="1">
      <c r="A7047"/>
    </row>
    <row r="7048" spans="1:1" ht="18.75" customHeight="1">
      <c r="A7048"/>
    </row>
    <row r="7049" spans="1:1" ht="18.75" customHeight="1">
      <c r="A7049"/>
    </row>
    <row r="7050" spans="1:1" ht="18.75" customHeight="1">
      <c r="A7050"/>
    </row>
    <row r="7051" spans="1:1" ht="18.75" customHeight="1">
      <c r="A7051"/>
    </row>
    <row r="7052" spans="1:1" ht="18.75" customHeight="1">
      <c r="A7052"/>
    </row>
    <row r="7053" spans="1:1" ht="18.75" customHeight="1">
      <c r="A7053"/>
    </row>
    <row r="7054" spans="1:1" ht="18.75" customHeight="1">
      <c r="A7054"/>
    </row>
    <row r="7055" spans="1:1" ht="18.75" customHeight="1">
      <c r="A7055"/>
    </row>
    <row r="7056" spans="1:1" ht="18.75" customHeight="1">
      <c r="A7056"/>
    </row>
    <row r="7057" spans="1:1" ht="18.75" customHeight="1">
      <c r="A7057"/>
    </row>
    <row r="7058" spans="1:1" ht="18.75" customHeight="1">
      <c r="A7058"/>
    </row>
    <row r="7059" spans="1:1" ht="18.75" customHeight="1">
      <c r="A7059"/>
    </row>
    <row r="7060" spans="1:1" ht="18.75" customHeight="1">
      <c r="A7060"/>
    </row>
    <row r="7061" spans="1:1" ht="18.75" customHeight="1">
      <c r="A7061"/>
    </row>
    <row r="7062" spans="1:1" ht="18.75" customHeight="1">
      <c r="A7062"/>
    </row>
    <row r="7063" spans="1:1" ht="18.75" customHeight="1">
      <c r="A7063"/>
    </row>
    <row r="7064" spans="1:1" ht="18.75" customHeight="1">
      <c r="A7064"/>
    </row>
    <row r="7065" spans="1:1" ht="18.75" customHeight="1">
      <c r="A7065"/>
    </row>
    <row r="7066" spans="1:1" ht="18.75" customHeight="1">
      <c r="A7066"/>
    </row>
    <row r="7067" spans="1:1" ht="18.75" customHeight="1">
      <c r="A7067"/>
    </row>
    <row r="7068" spans="1:1" ht="18.75" customHeight="1">
      <c r="A7068"/>
    </row>
    <row r="7069" spans="1:1" ht="18.75" customHeight="1">
      <c r="A7069"/>
    </row>
    <row r="7070" spans="1:1" ht="18.75" customHeight="1">
      <c r="A7070"/>
    </row>
    <row r="7071" spans="1:1" ht="18.75" customHeight="1">
      <c r="A7071"/>
    </row>
    <row r="7072" spans="1:1" ht="18.75" customHeight="1">
      <c r="A7072"/>
    </row>
    <row r="7073" spans="1:1" ht="18.75" customHeight="1">
      <c r="A7073"/>
    </row>
    <row r="7074" spans="1:1" ht="18.75" customHeight="1">
      <c r="A7074"/>
    </row>
    <row r="7075" spans="1:1" ht="18.75" customHeight="1">
      <c r="A7075"/>
    </row>
    <row r="7076" spans="1:1" ht="18.75" customHeight="1">
      <c r="A7076"/>
    </row>
    <row r="7077" spans="1:1" ht="18.75" customHeight="1">
      <c r="A7077"/>
    </row>
    <row r="7078" spans="1:1" ht="18.75" customHeight="1">
      <c r="A7078"/>
    </row>
    <row r="7079" spans="1:1" ht="18.75" customHeight="1">
      <c r="A7079"/>
    </row>
    <row r="7080" spans="1:1" ht="18.75" customHeight="1">
      <c r="A7080"/>
    </row>
    <row r="7081" spans="1:1" ht="18.75" customHeight="1">
      <c r="A7081"/>
    </row>
    <row r="7082" spans="1:1" ht="18.75" customHeight="1">
      <c r="A7082"/>
    </row>
    <row r="7083" spans="1:1" ht="18.75" customHeight="1">
      <c r="A7083"/>
    </row>
    <row r="7084" spans="1:1" ht="18.75" customHeight="1">
      <c r="A7084"/>
    </row>
    <row r="7085" spans="1:1" ht="18.75" customHeight="1">
      <c r="A7085"/>
    </row>
    <row r="7086" spans="1:1" ht="18.75" customHeight="1">
      <c r="A7086"/>
    </row>
    <row r="7087" spans="1:1" ht="18.75" customHeight="1">
      <c r="A7087"/>
    </row>
    <row r="7088" spans="1:1" ht="18.75" customHeight="1">
      <c r="A7088"/>
    </row>
    <row r="7089" spans="1:1" ht="18.75" customHeight="1">
      <c r="A7089"/>
    </row>
    <row r="7090" spans="1:1" ht="18.75" customHeight="1">
      <c r="A7090"/>
    </row>
    <row r="7091" spans="1:1" ht="18.75" customHeight="1">
      <c r="A7091"/>
    </row>
    <row r="7092" spans="1:1" ht="18.75" customHeight="1">
      <c r="A7092"/>
    </row>
    <row r="7093" spans="1:1" ht="18.75" customHeight="1">
      <c r="A7093"/>
    </row>
    <row r="7094" spans="1:1" ht="18.75" customHeight="1">
      <c r="A7094"/>
    </row>
    <row r="7095" spans="1:1" ht="18.75" customHeight="1">
      <c r="A7095"/>
    </row>
    <row r="7096" spans="1:1" ht="18.75" customHeight="1">
      <c r="A7096"/>
    </row>
    <row r="7097" spans="1:1" ht="18.75" customHeight="1">
      <c r="A7097"/>
    </row>
    <row r="7098" spans="1:1" ht="18.75" customHeight="1">
      <c r="A7098"/>
    </row>
    <row r="7099" spans="1:1" ht="18.75" customHeight="1">
      <c r="A7099"/>
    </row>
    <row r="7100" spans="1:1" ht="18.75" customHeight="1">
      <c r="A7100"/>
    </row>
    <row r="7101" spans="1:1" ht="18.75" customHeight="1">
      <c r="A7101"/>
    </row>
    <row r="7102" spans="1:1" ht="18.75" customHeight="1">
      <c r="A7102"/>
    </row>
    <row r="7103" spans="1:1" ht="18.75" customHeight="1">
      <c r="A7103"/>
    </row>
    <row r="7104" spans="1:1" ht="18.75" customHeight="1">
      <c r="A7104"/>
    </row>
    <row r="7105" spans="1:1" ht="18.75" customHeight="1">
      <c r="A7105"/>
    </row>
    <row r="7106" spans="1:1" ht="18.75" customHeight="1">
      <c r="A7106"/>
    </row>
    <row r="7107" spans="1:1" ht="18.75" customHeight="1">
      <c r="A7107"/>
    </row>
    <row r="7108" spans="1:1" ht="18.75" customHeight="1">
      <c r="A7108"/>
    </row>
    <row r="7109" spans="1:1" ht="18.75" customHeight="1">
      <c r="A7109"/>
    </row>
    <row r="7110" spans="1:1" ht="18.75" customHeight="1">
      <c r="A7110"/>
    </row>
    <row r="7111" spans="1:1" ht="18.75" customHeight="1">
      <c r="A7111"/>
    </row>
    <row r="7112" spans="1:1" ht="18.75" customHeight="1">
      <c r="A7112"/>
    </row>
    <row r="7113" spans="1:1" ht="18.75" customHeight="1">
      <c r="A7113"/>
    </row>
    <row r="7114" spans="1:1" ht="18.75" customHeight="1">
      <c r="A7114"/>
    </row>
    <row r="7115" spans="1:1" ht="18.75" customHeight="1">
      <c r="A7115"/>
    </row>
    <row r="7116" spans="1:1" ht="18.75" customHeight="1">
      <c r="A7116"/>
    </row>
    <row r="7117" spans="1:1" ht="18.75" customHeight="1">
      <c r="A7117"/>
    </row>
    <row r="7118" spans="1:1" ht="18.75" customHeight="1">
      <c r="A7118"/>
    </row>
    <row r="7119" spans="1:1" ht="18.75" customHeight="1">
      <c r="A7119"/>
    </row>
    <row r="7120" spans="1:1" ht="18.75" customHeight="1">
      <c r="A7120"/>
    </row>
    <row r="7121" spans="1:1" ht="18.75" customHeight="1">
      <c r="A7121"/>
    </row>
    <row r="7122" spans="1:1" ht="18.75" customHeight="1">
      <c r="A7122"/>
    </row>
    <row r="7123" spans="1:1" ht="18.75" customHeight="1">
      <c r="A7123"/>
    </row>
    <row r="7124" spans="1:1" ht="18.75" customHeight="1">
      <c r="A7124"/>
    </row>
    <row r="7125" spans="1:1" ht="18.75" customHeight="1">
      <c r="A7125"/>
    </row>
    <row r="7126" spans="1:1" ht="18.75" customHeight="1">
      <c r="A7126"/>
    </row>
    <row r="7127" spans="1:1" ht="18.75" customHeight="1">
      <c r="A7127"/>
    </row>
    <row r="7128" spans="1:1" ht="18.75" customHeight="1">
      <c r="A7128"/>
    </row>
    <row r="7129" spans="1:1" ht="18.75" customHeight="1">
      <c r="A7129"/>
    </row>
    <row r="7130" spans="1:1" ht="18.75" customHeight="1">
      <c r="A7130"/>
    </row>
    <row r="7131" spans="1:1" ht="18.75" customHeight="1">
      <c r="A7131"/>
    </row>
    <row r="7132" spans="1:1" ht="18.75" customHeight="1">
      <c r="A7132"/>
    </row>
    <row r="7133" spans="1:1" ht="18.75" customHeight="1">
      <c r="A7133"/>
    </row>
    <row r="7134" spans="1:1" ht="18.75" customHeight="1">
      <c r="A7134"/>
    </row>
    <row r="7135" spans="1:1" ht="18.75" customHeight="1">
      <c r="A7135"/>
    </row>
    <row r="7136" spans="1:1" ht="18.75" customHeight="1">
      <c r="A7136"/>
    </row>
    <row r="7137" spans="1:1" ht="18.75" customHeight="1">
      <c r="A7137"/>
    </row>
    <row r="7138" spans="1:1" ht="18.75" customHeight="1">
      <c r="A7138"/>
    </row>
    <row r="7139" spans="1:1" ht="18.75" customHeight="1">
      <c r="A7139"/>
    </row>
    <row r="7140" spans="1:1" ht="18.75" customHeight="1">
      <c r="A7140"/>
    </row>
    <row r="7141" spans="1:1" ht="18.75" customHeight="1">
      <c r="A7141"/>
    </row>
    <row r="7142" spans="1:1" ht="18.75" customHeight="1">
      <c r="A7142"/>
    </row>
    <row r="7143" spans="1:1" ht="18.75" customHeight="1">
      <c r="A7143"/>
    </row>
    <row r="7144" spans="1:1" ht="18.75" customHeight="1">
      <c r="A7144"/>
    </row>
    <row r="7145" spans="1:1" ht="18.75" customHeight="1">
      <c r="A7145"/>
    </row>
    <row r="7146" spans="1:1" ht="18.75" customHeight="1">
      <c r="A7146"/>
    </row>
    <row r="7147" spans="1:1" ht="18.75" customHeight="1">
      <c r="A7147"/>
    </row>
    <row r="7148" spans="1:1" ht="18.75" customHeight="1">
      <c r="A7148"/>
    </row>
    <row r="7149" spans="1:1" ht="18.75" customHeight="1">
      <c r="A7149"/>
    </row>
    <row r="7150" spans="1:1" ht="18.75" customHeight="1">
      <c r="A7150"/>
    </row>
    <row r="7151" spans="1:1" ht="18.75" customHeight="1">
      <c r="A7151"/>
    </row>
    <row r="7152" spans="1:1" ht="18.75" customHeight="1">
      <c r="A7152"/>
    </row>
    <row r="7153" spans="1:1" ht="18.75" customHeight="1">
      <c r="A7153"/>
    </row>
    <row r="7154" spans="1:1" ht="18.75" customHeight="1">
      <c r="A7154"/>
    </row>
    <row r="7155" spans="1:1" ht="18.75" customHeight="1">
      <c r="A7155"/>
    </row>
    <row r="7156" spans="1:1" ht="18.75" customHeight="1">
      <c r="A7156"/>
    </row>
    <row r="7157" spans="1:1" ht="18.75" customHeight="1">
      <c r="A7157"/>
    </row>
    <row r="7158" spans="1:1" ht="18.75" customHeight="1">
      <c r="A7158"/>
    </row>
    <row r="7159" spans="1:1" ht="18.75" customHeight="1">
      <c r="A7159"/>
    </row>
    <row r="7160" spans="1:1" ht="18.75" customHeight="1">
      <c r="A7160"/>
    </row>
    <row r="7161" spans="1:1" ht="18.75" customHeight="1">
      <c r="A7161"/>
    </row>
    <row r="7162" spans="1:1" ht="18.75" customHeight="1">
      <c r="A7162"/>
    </row>
    <row r="7163" spans="1:1" ht="18.75" customHeight="1">
      <c r="A7163"/>
    </row>
    <row r="7164" spans="1:1" ht="18.75" customHeight="1">
      <c r="A7164"/>
    </row>
    <row r="7165" spans="1:1" ht="18.75" customHeight="1">
      <c r="A7165"/>
    </row>
    <row r="7166" spans="1:1" ht="18.75" customHeight="1">
      <c r="A7166"/>
    </row>
    <row r="7167" spans="1:1" ht="18.75" customHeight="1">
      <c r="A7167"/>
    </row>
    <row r="7168" spans="1:1" ht="18.75" customHeight="1">
      <c r="A7168"/>
    </row>
    <row r="7169" spans="1:1" ht="18.75" customHeight="1">
      <c r="A7169"/>
    </row>
    <row r="7170" spans="1:1" ht="18.75" customHeight="1">
      <c r="A7170"/>
    </row>
    <row r="7171" spans="1:1" ht="18.75" customHeight="1">
      <c r="A7171"/>
    </row>
    <row r="7172" spans="1:1" ht="18.75" customHeight="1">
      <c r="A7172"/>
    </row>
    <row r="7173" spans="1:1" ht="18.75" customHeight="1">
      <c r="A7173"/>
    </row>
    <row r="7174" spans="1:1" ht="18.75" customHeight="1">
      <c r="A7174"/>
    </row>
    <row r="7175" spans="1:1" ht="18.75" customHeight="1">
      <c r="A7175"/>
    </row>
    <row r="7176" spans="1:1" ht="18.75" customHeight="1">
      <c r="A7176"/>
    </row>
    <row r="7177" spans="1:1" ht="18.75" customHeight="1">
      <c r="A7177"/>
    </row>
    <row r="7178" spans="1:1" ht="18.75" customHeight="1">
      <c r="A7178"/>
    </row>
    <row r="7179" spans="1:1" ht="18.75" customHeight="1">
      <c r="A7179"/>
    </row>
    <row r="7180" spans="1:1" ht="18.75" customHeight="1">
      <c r="A7180"/>
    </row>
    <row r="7181" spans="1:1" ht="18.75" customHeight="1">
      <c r="A7181"/>
    </row>
    <row r="7182" spans="1:1" ht="18.75" customHeight="1">
      <c r="A7182"/>
    </row>
    <row r="7183" spans="1:1" ht="18.75" customHeight="1">
      <c r="A7183"/>
    </row>
    <row r="7184" spans="1:1" ht="18.75" customHeight="1">
      <c r="A7184"/>
    </row>
    <row r="7185" spans="1:1" ht="18.75" customHeight="1">
      <c r="A7185"/>
    </row>
    <row r="7186" spans="1:1" ht="18.75" customHeight="1">
      <c r="A7186"/>
    </row>
    <row r="7187" spans="1:1" ht="18.75" customHeight="1">
      <c r="A7187"/>
    </row>
    <row r="7188" spans="1:1" ht="18.75" customHeight="1">
      <c r="A7188"/>
    </row>
    <row r="7189" spans="1:1" ht="18.75" customHeight="1">
      <c r="A7189"/>
    </row>
    <row r="7190" spans="1:1" ht="18.75" customHeight="1">
      <c r="A7190"/>
    </row>
    <row r="7191" spans="1:1" ht="18.75" customHeight="1">
      <c r="A7191"/>
    </row>
    <row r="7192" spans="1:1" ht="18.75" customHeight="1">
      <c r="A7192"/>
    </row>
    <row r="7193" spans="1:1" ht="18.75" customHeight="1">
      <c r="A7193"/>
    </row>
    <row r="7194" spans="1:1" ht="18.75" customHeight="1">
      <c r="A7194"/>
    </row>
    <row r="7195" spans="1:1" ht="18.75" customHeight="1">
      <c r="A7195"/>
    </row>
    <row r="7196" spans="1:1" ht="18.75" customHeight="1">
      <c r="A7196"/>
    </row>
    <row r="7197" spans="1:1" ht="18.75" customHeight="1">
      <c r="A7197"/>
    </row>
    <row r="7198" spans="1:1" ht="18.75" customHeight="1">
      <c r="A7198"/>
    </row>
    <row r="7199" spans="1:1" ht="18.75" customHeight="1">
      <c r="A7199"/>
    </row>
    <row r="7200" spans="1:1" ht="18.75" customHeight="1">
      <c r="A7200"/>
    </row>
    <row r="7201" spans="1:1" ht="18.75" customHeight="1">
      <c r="A7201"/>
    </row>
    <row r="7202" spans="1:1" ht="18.75" customHeight="1">
      <c r="A7202"/>
    </row>
    <row r="7203" spans="1:1" ht="18.75" customHeight="1">
      <c r="A7203"/>
    </row>
    <row r="7204" spans="1:1" ht="18.75" customHeight="1">
      <c r="A7204"/>
    </row>
    <row r="7205" spans="1:1" ht="18.75" customHeight="1">
      <c r="A7205"/>
    </row>
    <row r="7206" spans="1:1" ht="18.75" customHeight="1">
      <c r="A7206"/>
    </row>
    <row r="7207" spans="1:1" ht="18.75" customHeight="1">
      <c r="A7207"/>
    </row>
    <row r="7208" spans="1:1" ht="18.75" customHeight="1">
      <c r="A7208"/>
    </row>
    <row r="7209" spans="1:1" ht="18.75" customHeight="1">
      <c r="A7209"/>
    </row>
    <row r="7210" spans="1:1" ht="18.75" customHeight="1">
      <c r="A7210"/>
    </row>
    <row r="7211" spans="1:1" ht="18.75" customHeight="1">
      <c r="A7211"/>
    </row>
    <row r="7212" spans="1:1" ht="18.75" customHeight="1">
      <c r="A7212"/>
    </row>
    <row r="7213" spans="1:1" ht="18.75" customHeight="1">
      <c r="A7213"/>
    </row>
    <row r="7214" spans="1:1" ht="18.75" customHeight="1">
      <c r="A7214"/>
    </row>
    <row r="7215" spans="1:1" ht="18.75" customHeight="1">
      <c r="A7215"/>
    </row>
    <row r="7216" spans="1:1" ht="18.75" customHeight="1">
      <c r="A7216"/>
    </row>
    <row r="7217" spans="1:1" ht="18.75" customHeight="1">
      <c r="A7217"/>
    </row>
    <row r="7218" spans="1:1" ht="18.75" customHeight="1">
      <c r="A7218"/>
    </row>
    <row r="7219" spans="1:1" ht="18.75" customHeight="1">
      <c r="A7219"/>
    </row>
    <row r="7220" spans="1:1" ht="18.75" customHeight="1">
      <c r="A7220"/>
    </row>
    <row r="7221" spans="1:1" ht="18.75" customHeight="1">
      <c r="A7221"/>
    </row>
    <row r="7222" spans="1:1" ht="18.75" customHeight="1">
      <c r="A7222"/>
    </row>
    <row r="7223" spans="1:1" ht="18.75" customHeight="1">
      <c r="A7223"/>
    </row>
    <row r="7224" spans="1:1" ht="18.75" customHeight="1">
      <c r="A7224"/>
    </row>
    <row r="7225" spans="1:1" ht="18.75" customHeight="1">
      <c r="A7225"/>
    </row>
    <row r="7226" spans="1:1" ht="18.75" customHeight="1">
      <c r="A7226"/>
    </row>
    <row r="7227" spans="1:1" ht="18.75" customHeight="1">
      <c r="A7227"/>
    </row>
    <row r="7228" spans="1:1" ht="18.75" customHeight="1">
      <c r="A7228"/>
    </row>
    <row r="7229" spans="1:1" ht="18.75" customHeight="1">
      <c r="A7229"/>
    </row>
    <row r="7230" spans="1:1" ht="18.75" customHeight="1">
      <c r="A7230"/>
    </row>
    <row r="7231" spans="1:1" ht="18.75" customHeight="1">
      <c r="A7231"/>
    </row>
    <row r="7232" spans="1:1" ht="18.75" customHeight="1">
      <c r="A7232"/>
    </row>
    <row r="7233" spans="1:1" ht="18.75" customHeight="1">
      <c r="A7233"/>
    </row>
    <row r="7234" spans="1:1" ht="18.75" customHeight="1">
      <c r="A7234"/>
    </row>
    <row r="7235" spans="1:1" ht="18.75" customHeight="1">
      <c r="A7235"/>
    </row>
    <row r="7236" spans="1:1" ht="18.75" customHeight="1">
      <c r="A7236"/>
    </row>
    <row r="7237" spans="1:1" ht="18.75" customHeight="1">
      <c r="A7237"/>
    </row>
    <row r="7238" spans="1:1" ht="18.75" customHeight="1">
      <c r="A7238"/>
    </row>
    <row r="7239" spans="1:1" ht="18.75" customHeight="1">
      <c r="A7239"/>
    </row>
    <row r="7240" spans="1:1" ht="18.75" customHeight="1">
      <c r="A7240"/>
    </row>
    <row r="7241" spans="1:1" ht="18.75" customHeight="1">
      <c r="A7241"/>
    </row>
    <row r="7242" spans="1:1" ht="18.75" customHeight="1">
      <c r="A7242"/>
    </row>
    <row r="7243" spans="1:1" ht="18.75" customHeight="1">
      <c r="A7243"/>
    </row>
    <row r="7244" spans="1:1" ht="18.75" customHeight="1">
      <c r="A7244"/>
    </row>
    <row r="7245" spans="1:1" ht="18.75" customHeight="1">
      <c r="A7245"/>
    </row>
    <row r="7246" spans="1:1" ht="18.75" customHeight="1">
      <c r="A7246"/>
    </row>
    <row r="7247" spans="1:1" ht="18.75" customHeight="1">
      <c r="A7247"/>
    </row>
    <row r="7248" spans="1:1" ht="18.75" customHeight="1">
      <c r="A7248"/>
    </row>
    <row r="7249" spans="1:1" ht="18.75" customHeight="1">
      <c r="A7249"/>
    </row>
    <row r="7250" spans="1:1" ht="18.75" customHeight="1">
      <c r="A7250"/>
    </row>
    <row r="7251" spans="1:1" ht="18.75" customHeight="1">
      <c r="A7251"/>
    </row>
    <row r="7252" spans="1:1" ht="18.75" customHeight="1">
      <c r="A7252"/>
    </row>
    <row r="7253" spans="1:1" ht="18.75" customHeight="1">
      <c r="A7253"/>
    </row>
    <row r="7254" spans="1:1" ht="18.75" customHeight="1">
      <c r="A7254"/>
    </row>
    <row r="7255" spans="1:1" ht="18.75" customHeight="1">
      <c r="A7255"/>
    </row>
    <row r="7256" spans="1:1" ht="18.75" customHeight="1">
      <c r="A7256"/>
    </row>
    <row r="7257" spans="1:1" ht="18.75" customHeight="1">
      <c r="A7257"/>
    </row>
    <row r="7258" spans="1:1" ht="18.75" customHeight="1">
      <c r="A7258"/>
    </row>
    <row r="7259" spans="1:1" ht="18.75" customHeight="1">
      <c r="A7259"/>
    </row>
    <row r="7260" spans="1:1" ht="18.75" customHeight="1">
      <c r="A7260"/>
    </row>
    <row r="7261" spans="1:1" ht="18.75" customHeight="1">
      <c r="A7261"/>
    </row>
    <row r="7262" spans="1:1" ht="18.75" customHeight="1">
      <c r="A7262"/>
    </row>
    <row r="7263" spans="1:1" ht="18.75" customHeight="1">
      <c r="A7263"/>
    </row>
    <row r="7264" spans="1:1" ht="18.75" customHeight="1">
      <c r="A7264"/>
    </row>
    <row r="7265" spans="1:1" ht="18.75" customHeight="1">
      <c r="A7265"/>
    </row>
    <row r="7266" spans="1:1" ht="18.75" customHeight="1">
      <c r="A7266"/>
    </row>
    <row r="7267" spans="1:1" ht="18.75" customHeight="1">
      <c r="A7267"/>
    </row>
    <row r="7268" spans="1:1" ht="18.75" customHeight="1">
      <c r="A7268"/>
    </row>
    <row r="7269" spans="1:1" ht="18.75" customHeight="1">
      <c r="A7269"/>
    </row>
    <row r="7270" spans="1:1" ht="18.75" customHeight="1">
      <c r="A7270"/>
    </row>
    <row r="7271" spans="1:1" ht="18.75" customHeight="1">
      <c r="A7271"/>
    </row>
    <row r="7272" spans="1:1" ht="18.75" customHeight="1">
      <c r="A7272"/>
    </row>
    <row r="7273" spans="1:1" ht="18.75" customHeight="1">
      <c r="A7273"/>
    </row>
    <row r="7274" spans="1:1" ht="18.75" customHeight="1">
      <c r="A7274"/>
    </row>
    <row r="7275" spans="1:1" ht="18.75" customHeight="1">
      <c r="A7275"/>
    </row>
    <row r="7276" spans="1:1" ht="18.75" customHeight="1">
      <c r="A7276"/>
    </row>
    <row r="7277" spans="1:1" ht="18.75" customHeight="1">
      <c r="A7277"/>
    </row>
    <row r="7278" spans="1:1" ht="18.75" customHeight="1">
      <c r="A7278"/>
    </row>
    <row r="7279" spans="1:1" ht="18.75" customHeight="1">
      <c r="A7279"/>
    </row>
    <row r="7280" spans="1:1" ht="18.75" customHeight="1">
      <c r="A7280"/>
    </row>
    <row r="7281" spans="1:1" ht="18.75" customHeight="1">
      <c r="A7281"/>
    </row>
    <row r="7282" spans="1:1" ht="18.75" customHeight="1">
      <c r="A7282"/>
    </row>
    <row r="7283" spans="1:1" ht="18.75" customHeight="1">
      <c r="A7283"/>
    </row>
    <row r="7284" spans="1:1" ht="18.75" customHeight="1">
      <c r="A7284"/>
    </row>
    <row r="7285" spans="1:1" ht="18.75" customHeight="1">
      <c r="A7285"/>
    </row>
    <row r="7286" spans="1:1" ht="18.75" customHeight="1">
      <c r="A7286"/>
    </row>
    <row r="7287" spans="1:1" ht="18.75" customHeight="1">
      <c r="A7287"/>
    </row>
    <row r="7288" spans="1:1" ht="18.75" customHeight="1">
      <c r="A7288"/>
    </row>
    <row r="7289" spans="1:1" ht="18.75" customHeight="1">
      <c r="A7289"/>
    </row>
    <row r="7290" spans="1:1" ht="18.75" customHeight="1">
      <c r="A7290"/>
    </row>
    <row r="7291" spans="1:1" ht="18.75" customHeight="1">
      <c r="A7291"/>
    </row>
    <row r="7292" spans="1:1" ht="18.75" customHeight="1">
      <c r="A7292"/>
    </row>
    <row r="7293" spans="1:1" ht="18.75" customHeight="1">
      <c r="A7293"/>
    </row>
    <row r="7294" spans="1:1" ht="18.75" customHeight="1">
      <c r="A7294"/>
    </row>
    <row r="7295" spans="1:1" ht="18.75" customHeight="1">
      <c r="A7295"/>
    </row>
    <row r="7296" spans="1:1" ht="18.75" customHeight="1">
      <c r="A7296"/>
    </row>
    <row r="7297" spans="1:1" ht="18.75" customHeight="1">
      <c r="A7297"/>
    </row>
    <row r="7298" spans="1:1" ht="18.75" customHeight="1">
      <c r="A7298"/>
    </row>
    <row r="7299" spans="1:1" ht="18.75" customHeight="1">
      <c r="A7299"/>
    </row>
    <row r="7300" spans="1:1" ht="18.75" customHeight="1">
      <c r="A7300"/>
    </row>
    <row r="7301" spans="1:1" ht="18.75" customHeight="1">
      <c r="A7301"/>
    </row>
    <row r="7302" spans="1:1" ht="18.75" customHeight="1">
      <c r="A7302"/>
    </row>
    <row r="7303" spans="1:1" ht="18.75" customHeight="1">
      <c r="A7303"/>
    </row>
    <row r="7304" spans="1:1" ht="18.75" customHeight="1">
      <c r="A7304"/>
    </row>
    <row r="7305" spans="1:1" ht="18.75" customHeight="1">
      <c r="A7305"/>
    </row>
    <row r="7306" spans="1:1" ht="18.75" customHeight="1">
      <c r="A7306"/>
    </row>
    <row r="7307" spans="1:1" ht="18.75" customHeight="1">
      <c r="A7307"/>
    </row>
    <row r="7308" spans="1:1" ht="18.75" customHeight="1">
      <c r="A7308"/>
    </row>
    <row r="7309" spans="1:1" ht="18.75" customHeight="1">
      <c r="A7309"/>
    </row>
    <row r="7310" spans="1:1" ht="18.75" customHeight="1">
      <c r="A7310"/>
    </row>
    <row r="7311" spans="1:1" ht="18.75" customHeight="1">
      <c r="A7311"/>
    </row>
    <row r="7312" spans="1:1" ht="18.75" customHeight="1">
      <c r="A7312"/>
    </row>
    <row r="7313" spans="1:1" ht="18.75" customHeight="1">
      <c r="A7313"/>
    </row>
    <row r="7314" spans="1:1" ht="18.75" customHeight="1">
      <c r="A7314"/>
    </row>
    <row r="7315" spans="1:1" ht="18.75" customHeight="1">
      <c r="A7315"/>
    </row>
    <row r="7316" spans="1:1" ht="18.75" customHeight="1">
      <c r="A7316"/>
    </row>
    <row r="7317" spans="1:1" ht="18.75" customHeight="1">
      <c r="A7317"/>
    </row>
    <row r="7318" spans="1:1" ht="18.75" customHeight="1">
      <c r="A7318"/>
    </row>
    <row r="7319" spans="1:1" ht="18.75" customHeight="1">
      <c r="A7319"/>
    </row>
    <row r="7320" spans="1:1" ht="18.75" customHeight="1">
      <c r="A7320"/>
    </row>
    <row r="7321" spans="1:1" ht="18.75" customHeight="1">
      <c r="A7321"/>
    </row>
    <row r="7322" spans="1:1" ht="18.75" customHeight="1">
      <c r="A7322"/>
    </row>
    <row r="7323" spans="1:1" ht="18.75" customHeight="1">
      <c r="A7323"/>
    </row>
    <row r="7324" spans="1:1" ht="18.75" customHeight="1">
      <c r="A7324"/>
    </row>
    <row r="7325" spans="1:1" ht="18.75" customHeight="1">
      <c r="A7325"/>
    </row>
    <row r="7326" spans="1:1" ht="18.75" customHeight="1">
      <c r="A7326"/>
    </row>
    <row r="7327" spans="1:1" ht="18.75" customHeight="1">
      <c r="A7327"/>
    </row>
    <row r="7328" spans="1:1" ht="18.75" customHeight="1">
      <c r="A7328"/>
    </row>
    <row r="7329" spans="1:1" ht="18.75" customHeight="1">
      <c r="A7329"/>
    </row>
    <row r="7330" spans="1:1" ht="18.75" customHeight="1">
      <c r="A7330"/>
    </row>
    <row r="7331" spans="1:1" ht="18.75" customHeight="1">
      <c r="A7331"/>
    </row>
    <row r="7332" spans="1:1" ht="18.75" customHeight="1">
      <c r="A7332"/>
    </row>
    <row r="7333" spans="1:1" ht="18.75" customHeight="1">
      <c r="A7333"/>
    </row>
    <row r="7334" spans="1:1" ht="18.75" customHeight="1">
      <c r="A7334"/>
    </row>
    <row r="7335" spans="1:1" ht="18.75" customHeight="1">
      <c r="A7335"/>
    </row>
    <row r="7336" spans="1:1" ht="18.75" customHeight="1">
      <c r="A7336"/>
    </row>
    <row r="7337" spans="1:1" ht="18.75" customHeight="1">
      <c r="A7337"/>
    </row>
    <row r="7338" spans="1:1" ht="18.75" customHeight="1">
      <c r="A7338"/>
    </row>
    <row r="7339" spans="1:1" ht="18.75" customHeight="1">
      <c r="A7339"/>
    </row>
    <row r="7340" spans="1:1" ht="18.75" customHeight="1">
      <c r="A7340"/>
    </row>
    <row r="7341" spans="1:1" ht="18.75" customHeight="1">
      <c r="A7341"/>
    </row>
    <row r="7342" spans="1:1" ht="18.75" customHeight="1">
      <c r="A7342"/>
    </row>
    <row r="7343" spans="1:1" ht="18.75" customHeight="1">
      <c r="A7343"/>
    </row>
    <row r="7344" spans="1:1" ht="18.75" customHeight="1">
      <c r="A7344"/>
    </row>
    <row r="7345" spans="1:1" ht="18.75" customHeight="1">
      <c r="A7345"/>
    </row>
    <row r="7346" spans="1:1" ht="18.75" customHeight="1">
      <c r="A7346"/>
    </row>
    <row r="7347" spans="1:1" ht="18.75" customHeight="1">
      <c r="A7347"/>
    </row>
    <row r="7348" spans="1:1" ht="18.75" customHeight="1">
      <c r="A7348"/>
    </row>
    <row r="7349" spans="1:1" ht="18.75" customHeight="1">
      <c r="A7349"/>
    </row>
    <row r="7350" spans="1:1" ht="18.75" customHeight="1">
      <c r="A7350"/>
    </row>
    <row r="7351" spans="1:1" ht="18.75" customHeight="1">
      <c r="A7351"/>
    </row>
    <row r="7352" spans="1:1" ht="18.75" customHeight="1">
      <c r="A7352"/>
    </row>
    <row r="7353" spans="1:1" ht="18.75" customHeight="1">
      <c r="A7353"/>
    </row>
    <row r="7354" spans="1:1" ht="18.75" customHeight="1">
      <c r="A7354"/>
    </row>
    <row r="7355" spans="1:1" ht="18.75" customHeight="1">
      <c r="A7355"/>
    </row>
    <row r="7356" spans="1:1" ht="18.75" customHeight="1">
      <c r="A7356"/>
    </row>
    <row r="7357" spans="1:1" ht="18.75" customHeight="1">
      <c r="A7357"/>
    </row>
    <row r="7358" spans="1:1" ht="18.75" customHeight="1">
      <c r="A7358"/>
    </row>
    <row r="7359" spans="1:1" ht="18.75" customHeight="1">
      <c r="A7359"/>
    </row>
    <row r="7360" spans="1:1" ht="18.75" customHeight="1">
      <c r="A7360"/>
    </row>
    <row r="7361" spans="1:1" ht="18.75" customHeight="1">
      <c r="A7361"/>
    </row>
    <row r="7362" spans="1:1" ht="18.75" customHeight="1">
      <c r="A7362"/>
    </row>
    <row r="7363" spans="1:1" ht="18.75" customHeight="1">
      <c r="A7363"/>
    </row>
    <row r="7364" spans="1:1" ht="18.75" customHeight="1">
      <c r="A7364"/>
    </row>
    <row r="7365" spans="1:1" ht="18.75" customHeight="1">
      <c r="A7365"/>
    </row>
    <row r="7366" spans="1:1" ht="18.75" customHeight="1">
      <c r="A7366"/>
    </row>
    <row r="7367" spans="1:1" ht="18.75" customHeight="1">
      <c r="A7367"/>
    </row>
    <row r="7368" spans="1:1" ht="18.75" customHeight="1">
      <c r="A7368"/>
    </row>
    <row r="7369" spans="1:1" ht="18.75" customHeight="1">
      <c r="A7369"/>
    </row>
    <row r="7370" spans="1:1" ht="18.75" customHeight="1">
      <c r="A7370"/>
    </row>
    <row r="7371" spans="1:1" ht="18.75" customHeight="1">
      <c r="A7371"/>
    </row>
    <row r="7372" spans="1:1" ht="18.75" customHeight="1">
      <c r="A7372"/>
    </row>
    <row r="7373" spans="1:1" ht="18.75" customHeight="1">
      <c r="A7373"/>
    </row>
    <row r="7374" spans="1:1" ht="18.75" customHeight="1">
      <c r="A7374"/>
    </row>
    <row r="7375" spans="1:1" ht="18.75" customHeight="1">
      <c r="A7375"/>
    </row>
    <row r="7376" spans="1:1" ht="18.75" customHeight="1">
      <c r="A7376"/>
    </row>
    <row r="7377" spans="1:1" ht="18.75" customHeight="1">
      <c r="A7377"/>
    </row>
    <row r="7378" spans="1:1" ht="18.75" customHeight="1">
      <c r="A7378"/>
    </row>
    <row r="7379" spans="1:1" ht="18.75" customHeight="1">
      <c r="A7379"/>
    </row>
    <row r="7380" spans="1:1" ht="18.75" customHeight="1">
      <c r="A7380"/>
    </row>
    <row r="7381" spans="1:1" ht="18.75" customHeight="1">
      <c r="A7381"/>
    </row>
    <row r="7382" spans="1:1" ht="18.75" customHeight="1">
      <c r="A7382"/>
    </row>
    <row r="7383" spans="1:1" ht="18.75" customHeight="1">
      <c r="A7383"/>
    </row>
    <row r="7384" spans="1:1" ht="18.75" customHeight="1">
      <c r="A7384"/>
    </row>
    <row r="7385" spans="1:1" ht="18.75" customHeight="1">
      <c r="A7385"/>
    </row>
    <row r="7386" spans="1:1" ht="18.75" customHeight="1">
      <c r="A7386"/>
    </row>
    <row r="7387" spans="1:1" ht="18.75" customHeight="1">
      <c r="A7387"/>
    </row>
    <row r="7388" spans="1:1" ht="18.75" customHeight="1">
      <c r="A7388"/>
    </row>
    <row r="7389" spans="1:1" ht="18.75" customHeight="1">
      <c r="A7389"/>
    </row>
    <row r="7390" spans="1:1" ht="18.75" customHeight="1">
      <c r="A7390"/>
    </row>
    <row r="7391" spans="1:1" ht="18.75" customHeight="1">
      <c r="A7391"/>
    </row>
    <row r="7392" spans="1:1" ht="18.75" customHeight="1">
      <c r="A7392"/>
    </row>
    <row r="7393" spans="1:1" ht="18.75" customHeight="1">
      <c r="A7393"/>
    </row>
    <row r="7394" spans="1:1" ht="18.75" customHeight="1">
      <c r="A7394"/>
    </row>
    <row r="7395" spans="1:1" ht="18.75" customHeight="1">
      <c r="A7395"/>
    </row>
    <row r="7396" spans="1:1" ht="18.75" customHeight="1">
      <c r="A7396"/>
    </row>
    <row r="7397" spans="1:1" ht="18.75" customHeight="1">
      <c r="A7397"/>
    </row>
    <row r="7398" spans="1:1" ht="18.75" customHeight="1">
      <c r="A7398"/>
    </row>
    <row r="7399" spans="1:1" ht="18.75" customHeight="1">
      <c r="A7399"/>
    </row>
    <row r="7400" spans="1:1" ht="18.75" customHeight="1">
      <c r="A7400"/>
    </row>
    <row r="7401" spans="1:1" ht="18.75" customHeight="1">
      <c r="A7401"/>
    </row>
    <row r="7402" spans="1:1" ht="18.75" customHeight="1">
      <c r="A7402"/>
    </row>
    <row r="7403" spans="1:1" ht="18.75" customHeight="1">
      <c r="A7403"/>
    </row>
    <row r="7404" spans="1:1" ht="18.75" customHeight="1">
      <c r="A7404"/>
    </row>
    <row r="7405" spans="1:1" ht="18.75" customHeight="1">
      <c r="A7405"/>
    </row>
    <row r="7406" spans="1:1" ht="18.75" customHeight="1">
      <c r="A7406"/>
    </row>
    <row r="7407" spans="1:1" ht="18.75" customHeight="1">
      <c r="A7407"/>
    </row>
    <row r="7408" spans="1:1" ht="18.75" customHeight="1">
      <c r="A7408"/>
    </row>
    <row r="7409" spans="1:1" ht="18.75" customHeight="1">
      <c r="A7409"/>
    </row>
    <row r="7410" spans="1:1" ht="18.75" customHeight="1">
      <c r="A7410"/>
    </row>
    <row r="7411" spans="1:1" ht="18.75" customHeight="1">
      <c r="A7411"/>
    </row>
    <row r="7412" spans="1:1" ht="18.75" customHeight="1">
      <c r="A7412"/>
    </row>
    <row r="7413" spans="1:1" ht="18.75" customHeight="1">
      <c r="A7413"/>
    </row>
    <row r="7414" spans="1:1" ht="18.75" customHeight="1">
      <c r="A7414"/>
    </row>
    <row r="7415" spans="1:1" ht="18.75" customHeight="1">
      <c r="A7415"/>
    </row>
    <row r="7416" spans="1:1" ht="18.75" customHeight="1">
      <c r="A7416"/>
    </row>
    <row r="7417" spans="1:1" ht="18.75" customHeight="1">
      <c r="A7417"/>
    </row>
    <row r="7418" spans="1:1" ht="18.75" customHeight="1">
      <c r="A7418"/>
    </row>
    <row r="7419" spans="1:1" ht="18.75" customHeight="1">
      <c r="A7419"/>
    </row>
    <row r="7420" spans="1:1" ht="18.75" customHeight="1">
      <c r="A7420"/>
    </row>
    <row r="7421" spans="1:1" ht="18.75" customHeight="1">
      <c r="A7421"/>
    </row>
    <row r="7422" spans="1:1" ht="18.75" customHeight="1">
      <c r="A7422"/>
    </row>
    <row r="7423" spans="1:1" ht="18.75" customHeight="1">
      <c r="A7423"/>
    </row>
    <row r="7424" spans="1:1" ht="18.75" customHeight="1">
      <c r="A7424"/>
    </row>
    <row r="7425" spans="1:1" ht="18.75" customHeight="1">
      <c r="A7425"/>
    </row>
    <row r="7426" spans="1:1" ht="18.75" customHeight="1">
      <c r="A7426"/>
    </row>
    <row r="7427" spans="1:1" ht="18.75" customHeight="1">
      <c r="A7427"/>
    </row>
    <row r="7428" spans="1:1" ht="18.75" customHeight="1">
      <c r="A7428"/>
    </row>
    <row r="7429" spans="1:1" ht="18.75" customHeight="1">
      <c r="A7429"/>
    </row>
    <row r="7430" spans="1:1" ht="18.75" customHeight="1">
      <c r="A7430"/>
    </row>
    <row r="7431" spans="1:1" ht="18.75" customHeight="1">
      <c r="A7431"/>
    </row>
    <row r="7432" spans="1:1" ht="18.75" customHeight="1">
      <c r="A7432"/>
    </row>
    <row r="7433" spans="1:1" ht="18.75" customHeight="1">
      <c r="A7433"/>
    </row>
    <row r="7434" spans="1:1" ht="18.75" customHeight="1">
      <c r="A7434"/>
    </row>
    <row r="7435" spans="1:1" ht="18.75" customHeight="1">
      <c r="A7435"/>
    </row>
    <row r="7436" spans="1:1" ht="18.75" customHeight="1">
      <c r="A7436"/>
    </row>
    <row r="7437" spans="1:1" ht="18.75" customHeight="1">
      <c r="A7437"/>
    </row>
    <row r="7438" spans="1:1" ht="18.75" customHeight="1">
      <c r="A7438"/>
    </row>
    <row r="7439" spans="1:1" ht="18.75" customHeight="1">
      <c r="A7439"/>
    </row>
    <row r="7440" spans="1:1" ht="18.75" customHeight="1">
      <c r="A7440"/>
    </row>
    <row r="7441" spans="1:1" ht="18.75" customHeight="1">
      <c r="A7441"/>
    </row>
    <row r="7442" spans="1:1" ht="18.75" customHeight="1">
      <c r="A7442"/>
    </row>
    <row r="7443" spans="1:1" ht="18.75" customHeight="1">
      <c r="A7443"/>
    </row>
    <row r="7444" spans="1:1" ht="18.75" customHeight="1">
      <c r="A7444"/>
    </row>
    <row r="7445" spans="1:1" ht="18.75" customHeight="1">
      <c r="A7445"/>
    </row>
    <row r="7446" spans="1:1" ht="18.75" customHeight="1">
      <c r="A7446"/>
    </row>
    <row r="7447" spans="1:1" ht="18.75" customHeight="1">
      <c r="A7447"/>
    </row>
    <row r="7448" spans="1:1" ht="18.75" customHeight="1">
      <c r="A7448"/>
    </row>
    <row r="7449" spans="1:1" ht="18.75" customHeight="1">
      <c r="A7449"/>
    </row>
    <row r="7450" spans="1:1" ht="18.75" customHeight="1">
      <c r="A7450"/>
    </row>
    <row r="7451" spans="1:1" ht="18.75" customHeight="1">
      <c r="A7451"/>
    </row>
    <row r="7452" spans="1:1" ht="18.75" customHeight="1">
      <c r="A7452"/>
    </row>
    <row r="7453" spans="1:1" ht="18.75" customHeight="1">
      <c r="A7453"/>
    </row>
    <row r="7454" spans="1:1" ht="18.75" customHeight="1">
      <c r="A7454"/>
    </row>
    <row r="7455" spans="1:1" ht="18.75" customHeight="1">
      <c r="A7455"/>
    </row>
    <row r="7456" spans="1:1" ht="18.75" customHeight="1">
      <c r="A7456"/>
    </row>
    <row r="7457" spans="1:1" ht="18.75" customHeight="1">
      <c r="A7457"/>
    </row>
    <row r="7458" spans="1:1" ht="18.75" customHeight="1">
      <c r="A7458"/>
    </row>
    <row r="7459" spans="1:1" ht="18.75" customHeight="1">
      <c r="A7459"/>
    </row>
    <row r="7460" spans="1:1" ht="18.75" customHeight="1">
      <c r="A7460"/>
    </row>
    <row r="7461" spans="1:1" ht="18.75" customHeight="1">
      <c r="A7461"/>
    </row>
    <row r="7462" spans="1:1" ht="18.75" customHeight="1">
      <c r="A7462"/>
    </row>
    <row r="7463" spans="1:1" ht="18.75" customHeight="1">
      <c r="A7463"/>
    </row>
    <row r="7464" spans="1:1" ht="18.75" customHeight="1">
      <c r="A7464"/>
    </row>
    <row r="7465" spans="1:1" ht="18.75" customHeight="1">
      <c r="A7465"/>
    </row>
    <row r="7466" spans="1:1" ht="18.75" customHeight="1">
      <c r="A7466"/>
    </row>
    <row r="7467" spans="1:1" ht="18.75" customHeight="1">
      <c r="A7467"/>
    </row>
    <row r="7468" spans="1:1" ht="18.75" customHeight="1">
      <c r="A7468"/>
    </row>
    <row r="7469" spans="1:1" ht="18.75" customHeight="1">
      <c r="A7469"/>
    </row>
    <row r="7470" spans="1:1" ht="18.75" customHeight="1">
      <c r="A7470"/>
    </row>
    <row r="7471" spans="1:1" ht="18.75" customHeight="1">
      <c r="A7471"/>
    </row>
    <row r="7472" spans="1:1" ht="18.75" customHeight="1">
      <c r="A7472"/>
    </row>
    <row r="7473" spans="1:1" ht="18.75" customHeight="1">
      <c r="A7473"/>
    </row>
    <row r="7474" spans="1:1" ht="18.75" customHeight="1">
      <c r="A7474"/>
    </row>
    <row r="7475" spans="1:1" ht="18.75" customHeight="1">
      <c r="A7475"/>
    </row>
    <row r="7476" spans="1:1" ht="18.75" customHeight="1">
      <c r="A7476"/>
    </row>
    <row r="7477" spans="1:1" ht="18.75" customHeight="1">
      <c r="A7477"/>
    </row>
    <row r="7478" spans="1:1" ht="18.75" customHeight="1">
      <c r="A7478"/>
    </row>
    <row r="7479" spans="1:1" ht="18.75" customHeight="1">
      <c r="A7479"/>
    </row>
    <row r="7480" spans="1:1" ht="18.75" customHeight="1">
      <c r="A7480"/>
    </row>
    <row r="7481" spans="1:1" ht="18.75" customHeight="1">
      <c r="A7481"/>
    </row>
    <row r="7482" spans="1:1" ht="18.75" customHeight="1">
      <c r="A7482"/>
    </row>
    <row r="7483" spans="1:1" ht="18.75" customHeight="1">
      <c r="A7483"/>
    </row>
    <row r="7484" spans="1:1" ht="18.75" customHeight="1">
      <c r="A7484"/>
    </row>
    <row r="7485" spans="1:1" ht="18.75" customHeight="1">
      <c r="A7485"/>
    </row>
    <row r="7486" spans="1:1" ht="18.75" customHeight="1">
      <c r="A7486"/>
    </row>
    <row r="7487" spans="1:1" ht="18.75" customHeight="1">
      <c r="A7487"/>
    </row>
    <row r="7488" spans="1:1" ht="18.75" customHeight="1">
      <c r="A7488"/>
    </row>
    <row r="7489" spans="1:1" ht="18.75" customHeight="1">
      <c r="A7489"/>
    </row>
    <row r="7490" spans="1:1" ht="18.75" customHeight="1">
      <c r="A7490"/>
    </row>
    <row r="7491" spans="1:1" ht="18.75" customHeight="1">
      <c r="A7491"/>
    </row>
    <row r="7492" spans="1:1" ht="18.75" customHeight="1">
      <c r="A7492"/>
    </row>
    <row r="7493" spans="1:1" ht="18.75" customHeight="1">
      <c r="A7493"/>
    </row>
    <row r="7494" spans="1:1" ht="18.75" customHeight="1">
      <c r="A7494"/>
    </row>
    <row r="7495" spans="1:1" ht="18.75" customHeight="1">
      <c r="A7495"/>
    </row>
    <row r="7496" spans="1:1" ht="18.75" customHeight="1">
      <c r="A7496"/>
    </row>
    <row r="7497" spans="1:1" ht="18.75" customHeight="1">
      <c r="A7497"/>
    </row>
    <row r="7498" spans="1:1" ht="18.75" customHeight="1">
      <c r="A7498"/>
    </row>
    <row r="7499" spans="1:1" ht="18.75" customHeight="1">
      <c r="A7499"/>
    </row>
    <row r="7500" spans="1:1" ht="18.75" customHeight="1">
      <c r="A7500"/>
    </row>
    <row r="7501" spans="1:1" ht="18.75" customHeight="1">
      <c r="A7501"/>
    </row>
    <row r="7502" spans="1:1" ht="18.75" customHeight="1">
      <c r="A7502"/>
    </row>
    <row r="7503" spans="1:1" ht="18.75" customHeight="1">
      <c r="A7503"/>
    </row>
    <row r="7504" spans="1:1" ht="18.75" customHeight="1">
      <c r="A7504"/>
    </row>
    <row r="7505" spans="1:1" ht="18.75" customHeight="1">
      <c r="A7505"/>
    </row>
    <row r="7506" spans="1:1" ht="18.75" customHeight="1">
      <c r="A7506"/>
    </row>
    <row r="7507" spans="1:1" ht="18.75" customHeight="1">
      <c r="A7507"/>
    </row>
    <row r="7508" spans="1:1" ht="18.75" customHeight="1">
      <c r="A7508"/>
    </row>
    <row r="7509" spans="1:1" ht="18.75" customHeight="1">
      <c r="A7509"/>
    </row>
    <row r="7510" spans="1:1" ht="18.75" customHeight="1">
      <c r="A7510"/>
    </row>
    <row r="7511" spans="1:1" ht="18.75" customHeight="1">
      <c r="A7511"/>
    </row>
    <row r="7512" spans="1:1" ht="18.75" customHeight="1">
      <c r="A7512"/>
    </row>
    <row r="7513" spans="1:1" ht="18.75" customHeight="1">
      <c r="A7513"/>
    </row>
    <row r="7514" spans="1:1" ht="18.75" customHeight="1">
      <c r="A7514"/>
    </row>
    <row r="7515" spans="1:1" ht="18.75" customHeight="1">
      <c r="A7515"/>
    </row>
    <row r="7516" spans="1:1" ht="18.75" customHeight="1">
      <c r="A7516"/>
    </row>
    <row r="7517" spans="1:1" ht="18.75" customHeight="1">
      <c r="A7517"/>
    </row>
    <row r="7518" spans="1:1" ht="18.75" customHeight="1">
      <c r="A7518"/>
    </row>
    <row r="7519" spans="1:1" ht="18.75" customHeight="1">
      <c r="A7519"/>
    </row>
    <row r="7520" spans="1:1" ht="18.75" customHeight="1">
      <c r="A7520"/>
    </row>
    <row r="7521" spans="1:1" ht="18.75" customHeight="1">
      <c r="A7521"/>
    </row>
    <row r="7522" spans="1:1" ht="18.75" customHeight="1">
      <c r="A7522"/>
    </row>
    <row r="7523" spans="1:1" ht="18.75" customHeight="1">
      <c r="A7523"/>
    </row>
    <row r="7524" spans="1:1" ht="18.75" customHeight="1">
      <c r="A7524"/>
    </row>
    <row r="7525" spans="1:1" ht="18.75" customHeight="1">
      <c r="A7525"/>
    </row>
    <row r="7526" spans="1:1" ht="18.75" customHeight="1">
      <c r="A7526"/>
    </row>
    <row r="7527" spans="1:1" ht="18.75" customHeight="1">
      <c r="A7527"/>
    </row>
    <row r="7528" spans="1:1" ht="18.75" customHeight="1">
      <c r="A7528"/>
    </row>
    <row r="7529" spans="1:1" ht="18.75" customHeight="1">
      <c r="A7529"/>
    </row>
    <row r="7530" spans="1:1" ht="18.75" customHeight="1">
      <c r="A7530"/>
    </row>
    <row r="7531" spans="1:1" ht="18.75" customHeight="1">
      <c r="A7531"/>
    </row>
    <row r="7532" spans="1:1" ht="18.75" customHeight="1">
      <c r="A7532"/>
    </row>
    <row r="7533" spans="1:1" ht="18.75" customHeight="1">
      <c r="A7533"/>
    </row>
    <row r="7534" spans="1:1" ht="18.75" customHeight="1">
      <c r="A7534"/>
    </row>
    <row r="7535" spans="1:1" ht="18.75" customHeight="1">
      <c r="A7535"/>
    </row>
    <row r="7536" spans="1:1" ht="18.75" customHeight="1">
      <c r="A7536"/>
    </row>
    <row r="7537" spans="1:1" ht="18.75" customHeight="1">
      <c r="A7537"/>
    </row>
    <row r="7538" spans="1:1" ht="18.75" customHeight="1">
      <c r="A7538"/>
    </row>
    <row r="7539" spans="1:1" ht="18.75" customHeight="1">
      <c r="A7539"/>
    </row>
    <row r="7540" spans="1:1" ht="18.75" customHeight="1">
      <c r="A7540"/>
    </row>
    <row r="7541" spans="1:1" ht="18.75" customHeight="1">
      <c r="A7541"/>
    </row>
    <row r="7542" spans="1:1" ht="18.75" customHeight="1">
      <c r="A7542"/>
    </row>
    <row r="7543" spans="1:1" ht="18.75" customHeight="1">
      <c r="A7543"/>
    </row>
    <row r="7544" spans="1:1" ht="18.75" customHeight="1">
      <c r="A7544"/>
    </row>
    <row r="7545" spans="1:1" ht="18.75" customHeight="1">
      <c r="A7545"/>
    </row>
    <row r="7546" spans="1:1" ht="18.75" customHeight="1">
      <c r="A7546"/>
    </row>
    <row r="7547" spans="1:1" ht="18.75" customHeight="1">
      <c r="A7547"/>
    </row>
    <row r="7548" spans="1:1" ht="18.75" customHeight="1">
      <c r="A7548"/>
    </row>
    <row r="7549" spans="1:1" ht="18.75" customHeight="1">
      <c r="A7549"/>
    </row>
    <row r="7550" spans="1:1" ht="18.75" customHeight="1">
      <c r="A7550"/>
    </row>
    <row r="7551" spans="1:1" ht="18.75" customHeight="1">
      <c r="A7551"/>
    </row>
    <row r="7552" spans="1:1" ht="18.75" customHeight="1">
      <c r="A7552"/>
    </row>
    <row r="7553" spans="1:1" ht="18.75" customHeight="1">
      <c r="A7553"/>
    </row>
    <row r="7554" spans="1:1" ht="18.75" customHeight="1">
      <c r="A7554"/>
    </row>
    <row r="7555" spans="1:1" ht="18.75" customHeight="1">
      <c r="A7555"/>
    </row>
    <row r="7556" spans="1:1" ht="18.75" customHeight="1">
      <c r="A7556"/>
    </row>
    <row r="7557" spans="1:1" ht="18.75" customHeight="1">
      <c r="A7557"/>
    </row>
    <row r="7558" spans="1:1" ht="18.75" customHeight="1">
      <c r="A7558"/>
    </row>
    <row r="7559" spans="1:1" ht="18.75" customHeight="1">
      <c r="A7559"/>
    </row>
    <row r="7560" spans="1:1" ht="18.75" customHeight="1">
      <c r="A7560"/>
    </row>
    <row r="7561" spans="1:1" ht="18.75" customHeight="1">
      <c r="A7561"/>
    </row>
    <row r="7562" spans="1:1" ht="18.75" customHeight="1">
      <c r="A7562"/>
    </row>
    <row r="7563" spans="1:1" ht="18.75" customHeight="1">
      <c r="A7563"/>
    </row>
    <row r="7564" spans="1:1" ht="18.75" customHeight="1">
      <c r="A7564"/>
    </row>
    <row r="7565" spans="1:1" ht="18.75" customHeight="1">
      <c r="A7565"/>
    </row>
    <row r="7566" spans="1:1" ht="18.75" customHeight="1">
      <c r="A7566"/>
    </row>
    <row r="7567" spans="1:1" ht="18.75" customHeight="1">
      <c r="A7567"/>
    </row>
    <row r="7568" spans="1:1" ht="18.75" customHeight="1">
      <c r="A7568"/>
    </row>
    <row r="7569" spans="1:1" ht="18.75" customHeight="1">
      <c r="A7569"/>
    </row>
    <row r="7570" spans="1:1" ht="18.75" customHeight="1">
      <c r="A7570"/>
    </row>
    <row r="7571" spans="1:1" ht="18.75" customHeight="1">
      <c r="A7571"/>
    </row>
    <row r="7572" spans="1:1" ht="18.75" customHeight="1">
      <c r="A7572"/>
    </row>
    <row r="7573" spans="1:1" ht="18.75" customHeight="1">
      <c r="A7573"/>
    </row>
    <row r="7574" spans="1:1" ht="18.75" customHeight="1">
      <c r="A7574"/>
    </row>
    <row r="7575" spans="1:1" ht="18.75" customHeight="1">
      <c r="A7575"/>
    </row>
    <row r="7576" spans="1:1" ht="18.75" customHeight="1">
      <c r="A7576"/>
    </row>
    <row r="7577" spans="1:1" ht="18.75" customHeight="1">
      <c r="A7577"/>
    </row>
    <row r="7578" spans="1:1" ht="18.75" customHeight="1">
      <c r="A7578"/>
    </row>
    <row r="7579" spans="1:1" ht="18.75" customHeight="1">
      <c r="A7579"/>
    </row>
    <row r="7580" spans="1:1" ht="18.75" customHeight="1">
      <c r="A7580"/>
    </row>
    <row r="7581" spans="1:1" ht="18.75" customHeight="1">
      <c r="A7581"/>
    </row>
    <row r="7582" spans="1:1" ht="18.75" customHeight="1">
      <c r="A7582"/>
    </row>
    <row r="7583" spans="1:1" ht="18.75" customHeight="1">
      <c r="A7583"/>
    </row>
    <row r="7584" spans="1:1" ht="18.75" customHeight="1">
      <c r="A7584"/>
    </row>
    <row r="7585" spans="1:1" ht="18.75" customHeight="1">
      <c r="A7585"/>
    </row>
    <row r="7586" spans="1:1" ht="18.75" customHeight="1">
      <c r="A7586"/>
    </row>
    <row r="7587" spans="1:1" ht="18.75" customHeight="1">
      <c r="A7587"/>
    </row>
    <row r="7588" spans="1:1" ht="18.75" customHeight="1">
      <c r="A7588"/>
    </row>
    <row r="7589" spans="1:1" ht="18.75" customHeight="1">
      <c r="A7589"/>
    </row>
    <row r="7590" spans="1:1" ht="18.75" customHeight="1">
      <c r="A7590"/>
    </row>
    <row r="7591" spans="1:1" ht="18.75" customHeight="1">
      <c r="A7591"/>
    </row>
    <row r="7592" spans="1:1" ht="18.75" customHeight="1">
      <c r="A7592"/>
    </row>
    <row r="7593" spans="1:1" ht="18.75" customHeight="1">
      <c r="A7593"/>
    </row>
    <row r="7594" spans="1:1" ht="18.75" customHeight="1">
      <c r="A7594"/>
    </row>
    <row r="7595" spans="1:1" ht="18.75" customHeight="1">
      <c r="A7595"/>
    </row>
    <row r="7596" spans="1:1" ht="18.75" customHeight="1">
      <c r="A7596"/>
    </row>
    <row r="7597" spans="1:1" ht="18.75" customHeight="1">
      <c r="A7597"/>
    </row>
    <row r="7598" spans="1:1" ht="18.75" customHeight="1">
      <c r="A7598"/>
    </row>
    <row r="7599" spans="1:1" ht="18.75" customHeight="1">
      <c r="A7599"/>
    </row>
    <row r="7600" spans="1:1" ht="18.75" customHeight="1">
      <c r="A7600"/>
    </row>
    <row r="7601" spans="1:1" ht="18.75" customHeight="1">
      <c r="A7601"/>
    </row>
    <row r="7602" spans="1:1" ht="18.75" customHeight="1">
      <c r="A7602"/>
    </row>
    <row r="7603" spans="1:1" ht="18.75" customHeight="1">
      <c r="A7603"/>
    </row>
    <row r="7604" spans="1:1" ht="18.75" customHeight="1">
      <c r="A7604"/>
    </row>
    <row r="7605" spans="1:1" ht="18.75" customHeight="1">
      <c r="A7605"/>
    </row>
    <row r="7606" spans="1:1" ht="18.75" customHeight="1">
      <c r="A7606"/>
    </row>
    <row r="7607" spans="1:1" ht="18.75" customHeight="1">
      <c r="A7607"/>
    </row>
    <row r="7608" spans="1:1" ht="18.75" customHeight="1">
      <c r="A7608"/>
    </row>
    <row r="7609" spans="1:1" ht="18.75" customHeight="1">
      <c r="A7609"/>
    </row>
    <row r="7610" spans="1:1" ht="18.75" customHeight="1">
      <c r="A7610"/>
    </row>
    <row r="7611" spans="1:1" ht="18.75" customHeight="1">
      <c r="A7611"/>
    </row>
    <row r="7612" spans="1:1" ht="18.75" customHeight="1">
      <c r="A7612"/>
    </row>
    <row r="7613" spans="1:1" ht="18.75" customHeight="1">
      <c r="A7613"/>
    </row>
    <row r="7614" spans="1:1" ht="18.75" customHeight="1">
      <c r="A7614"/>
    </row>
    <row r="7615" spans="1:1" ht="18.75" customHeight="1">
      <c r="A7615"/>
    </row>
    <row r="7616" spans="1:1" ht="18.75" customHeight="1">
      <c r="A7616"/>
    </row>
    <row r="7617" spans="1:1" ht="18.75" customHeight="1">
      <c r="A7617"/>
    </row>
    <row r="7618" spans="1:1" ht="18.75" customHeight="1">
      <c r="A7618"/>
    </row>
    <row r="7619" spans="1:1" ht="18.75" customHeight="1">
      <c r="A7619"/>
    </row>
    <row r="7620" spans="1:1" ht="18.75" customHeight="1">
      <c r="A7620"/>
    </row>
    <row r="7621" spans="1:1" ht="18.75" customHeight="1">
      <c r="A7621"/>
    </row>
    <row r="7622" spans="1:1" ht="18.75" customHeight="1">
      <c r="A7622"/>
    </row>
    <row r="7623" spans="1:1" ht="18.75" customHeight="1">
      <c r="A7623"/>
    </row>
    <row r="7624" spans="1:1" ht="18.75" customHeight="1">
      <c r="A7624"/>
    </row>
    <row r="7625" spans="1:1" ht="18.75" customHeight="1">
      <c r="A7625"/>
    </row>
    <row r="7626" spans="1:1" ht="18.75" customHeight="1">
      <c r="A7626"/>
    </row>
    <row r="7627" spans="1:1" ht="18.75" customHeight="1">
      <c r="A7627"/>
    </row>
    <row r="7628" spans="1:1" ht="18.75" customHeight="1">
      <c r="A7628"/>
    </row>
    <row r="7629" spans="1:1" ht="18.75" customHeight="1">
      <c r="A7629"/>
    </row>
    <row r="7630" spans="1:1" ht="18.75" customHeight="1">
      <c r="A7630"/>
    </row>
    <row r="7631" spans="1:1" ht="18.75" customHeight="1">
      <c r="A7631"/>
    </row>
    <row r="7632" spans="1:1" ht="18.75" customHeight="1">
      <c r="A7632"/>
    </row>
    <row r="7633" spans="1:1" ht="18.75" customHeight="1">
      <c r="A7633"/>
    </row>
    <row r="7634" spans="1:1" ht="18.75" customHeight="1">
      <c r="A7634"/>
    </row>
    <row r="7635" spans="1:1" ht="18.75" customHeight="1">
      <c r="A7635"/>
    </row>
    <row r="7636" spans="1:1" ht="18.75" customHeight="1">
      <c r="A7636"/>
    </row>
    <row r="7637" spans="1:1" ht="18.75" customHeight="1">
      <c r="A7637"/>
    </row>
    <row r="7638" spans="1:1" ht="18.75" customHeight="1">
      <c r="A7638"/>
    </row>
    <row r="7639" spans="1:1" ht="18.75" customHeight="1">
      <c r="A7639"/>
    </row>
    <row r="7640" spans="1:1" ht="18.75" customHeight="1">
      <c r="A7640"/>
    </row>
    <row r="7641" spans="1:1" ht="18.75" customHeight="1">
      <c r="A7641"/>
    </row>
    <row r="7642" spans="1:1" ht="18.75" customHeight="1">
      <c r="A7642"/>
    </row>
    <row r="7643" spans="1:1" ht="18.75" customHeight="1">
      <c r="A7643"/>
    </row>
    <row r="7644" spans="1:1" ht="18.75" customHeight="1">
      <c r="A7644"/>
    </row>
    <row r="7645" spans="1:1" ht="18.75" customHeight="1">
      <c r="A7645"/>
    </row>
    <row r="7646" spans="1:1" ht="18.75" customHeight="1">
      <c r="A7646"/>
    </row>
    <row r="7647" spans="1:1" ht="18.75" customHeight="1">
      <c r="A7647"/>
    </row>
    <row r="7648" spans="1:1" ht="18.75" customHeight="1">
      <c r="A7648"/>
    </row>
    <row r="7649" spans="1:1" ht="18.75" customHeight="1">
      <c r="A7649"/>
    </row>
    <row r="7650" spans="1:1" ht="18.75" customHeight="1">
      <c r="A7650"/>
    </row>
    <row r="7651" spans="1:1" ht="18.75" customHeight="1">
      <c r="A7651"/>
    </row>
    <row r="7652" spans="1:1" ht="18.75" customHeight="1">
      <c r="A7652"/>
    </row>
    <row r="7653" spans="1:1" ht="18.75" customHeight="1">
      <c r="A7653"/>
    </row>
    <row r="7654" spans="1:1" ht="18.75" customHeight="1">
      <c r="A7654"/>
    </row>
    <row r="7655" spans="1:1" ht="18.75" customHeight="1">
      <c r="A7655"/>
    </row>
    <row r="7656" spans="1:1" ht="18.75" customHeight="1">
      <c r="A7656"/>
    </row>
    <row r="7657" spans="1:1" ht="18.75" customHeight="1">
      <c r="A7657"/>
    </row>
    <row r="7658" spans="1:1" ht="18.75" customHeight="1">
      <c r="A7658"/>
    </row>
    <row r="7659" spans="1:1" ht="18.75" customHeight="1">
      <c r="A7659"/>
    </row>
    <row r="7660" spans="1:1" ht="18.75" customHeight="1">
      <c r="A7660"/>
    </row>
    <row r="7661" spans="1:1" ht="18.75" customHeight="1">
      <c r="A7661"/>
    </row>
    <row r="7662" spans="1:1" ht="18.75" customHeight="1">
      <c r="A7662"/>
    </row>
    <row r="7663" spans="1:1" ht="18.75" customHeight="1">
      <c r="A7663"/>
    </row>
    <row r="7664" spans="1:1" ht="18.75" customHeight="1">
      <c r="A7664"/>
    </row>
    <row r="7665" spans="1:1" ht="18.75" customHeight="1">
      <c r="A7665"/>
    </row>
    <row r="7666" spans="1:1" ht="18.75" customHeight="1">
      <c r="A7666"/>
    </row>
    <row r="7667" spans="1:1" ht="18.75" customHeight="1">
      <c r="A7667"/>
    </row>
    <row r="7668" spans="1:1" ht="18.75" customHeight="1">
      <c r="A7668"/>
    </row>
    <row r="7669" spans="1:1" ht="18.75" customHeight="1">
      <c r="A7669"/>
    </row>
    <row r="7670" spans="1:1" ht="18.75" customHeight="1">
      <c r="A7670"/>
    </row>
    <row r="7671" spans="1:1" ht="18.75" customHeight="1">
      <c r="A7671"/>
    </row>
    <row r="7672" spans="1:1" ht="18.75" customHeight="1">
      <c r="A7672"/>
    </row>
    <row r="7673" spans="1:1" ht="18.75" customHeight="1">
      <c r="A7673"/>
    </row>
    <row r="7674" spans="1:1" ht="18.75" customHeight="1">
      <c r="A7674"/>
    </row>
    <row r="7675" spans="1:1" ht="18.75" customHeight="1">
      <c r="A7675"/>
    </row>
    <row r="7676" spans="1:1" ht="18.75" customHeight="1">
      <c r="A7676"/>
    </row>
    <row r="7677" spans="1:1" ht="18.75" customHeight="1">
      <c r="A7677"/>
    </row>
    <row r="7678" spans="1:1" ht="18.75" customHeight="1">
      <c r="A7678"/>
    </row>
    <row r="7679" spans="1:1" ht="18.75" customHeight="1">
      <c r="A7679"/>
    </row>
    <row r="7680" spans="1:1" ht="18.75" customHeight="1">
      <c r="A7680"/>
    </row>
    <row r="7681" spans="1:1" ht="18.75" customHeight="1">
      <c r="A7681"/>
    </row>
    <row r="7682" spans="1:1" ht="18.75" customHeight="1">
      <c r="A7682"/>
    </row>
    <row r="7683" spans="1:1" ht="18.75" customHeight="1">
      <c r="A7683"/>
    </row>
    <row r="7684" spans="1:1" ht="18.75" customHeight="1">
      <c r="A7684"/>
    </row>
    <row r="7685" spans="1:1" ht="18.75" customHeight="1">
      <c r="A7685"/>
    </row>
    <row r="7686" spans="1:1" ht="18.75" customHeight="1">
      <c r="A7686"/>
    </row>
    <row r="7687" spans="1:1" ht="18.75" customHeight="1">
      <c r="A7687"/>
    </row>
    <row r="7688" spans="1:1" ht="18.75" customHeight="1">
      <c r="A7688"/>
    </row>
    <row r="7689" spans="1:1" ht="18.75" customHeight="1">
      <c r="A7689"/>
    </row>
    <row r="7690" spans="1:1" ht="18.75" customHeight="1">
      <c r="A7690"/>
    </row>
    <row r="7691" spans="1:1" ht="18.75" customHeight="1">
      <c r="A7691"/>
    </row>
    <row r="7692" spans="1:1" ht="18.75" customHeight="1">
      <c r="A7692"/>
    </row>
    <row r="7693" spans="1:1" ht="18.75" customHeight="1">
      <c r="A7693"/>
    </row>
    <row r="7694" spans="1:1" ht="18.75" customHeight="1">
      <c r="A7694"/>
    </row>
    <row r="7695" spans="1:1" ht="18.75" customHeight="1">
      <c r="A7695"/>
    </row>
    <row r="7696" spans="1:1" ht="18.75" customHeight="1">
      <c r="A7696"/>
    </row>
    <row r="7697" spans="1:1" ht="18.75" customHeight="1">
      <c r="A7697"/>
    </row>
    <row r="7698" spans="1:1" ht="18.75" customHeight="1">
      <c r="A7698"/>
    </row>
    <row r="7699" spans="1:1" ht="18.75" customHeight="1">
      <c r="A7699"/>
    </row>
    <row r="7700" spans="1:1" ht="18.75" customHeight="1">
      <c r="A7700"/>
    </row>
    <row r="7701" spans="1:1" ht="18.75" customHeight="1">
      <c r="A7701"/>
    </row>
    <row r="7702" spans="1:1" ht="18.75" customHeight="1">
      <c r="A7702"/>
    </row>
    <row r="7703" spans="1:1" ht="18.75" customHeight="1">
      <c r="A7703"/>
    </row>
    <row r="7704" spans="1:1" ht="18.75" customHeight="1">
      <c r="A7704"/>
    </row>
    <row r="7705" spans="1:1" ht="18.75" customHeight="1">
      <c r="A7705"/>
    </row>
    <row r="7706" spans="1:1" ht="18.75" customHeight="1">
      <c r="A7706"/>
    </row>
    <row r="7707" spans="1:1" ht="18.75" customHeight="1">
      <c r="A7707"/>
    </row>
    <row r="7708" spans="1:1" ht="18.75" customHeight="1">
      <c r="A7708"/>
    </row>
    <row r="7709" spans="1:1" ht="18.75" customHeight="1">
      <c r="A7709"/>
    </row>
    <row r="7710" spans="1:1" ht="18.75" customHeight="1">
      <c r="A7710"/>
    </row>
    <row r="7711" spans="1:1" ht="18.75" customHeight="1">
      <c r="A7711"/>
    </row>
    <row r="7712" spans="1:1" ht="18.75" customHeight="1">
      <c r="A7712"/>
    </row>
    <row r="7713" spans="1:1" ht="18.75" customHeight="1">
      <c r="A7713"/>
    </row>
    <row r="7714" spans="1:1" ht="18.75" customHeight="1">
      <c r="A7714"/>
    </row>
    <row r="7715" spans="1:1" ht="18.75" customHeight="1">
      <c r="A7715"/>
    </row>
    <row r="7716" spans="1:1" ht="18.75" customHeight="1">
      <c r="A7716"/>
    </row>
    <row r="7717" spans="1:1" ht="18.75" customHeight="1">
      <c r="A7717"/>
    </row>
    <row r="7718" spans="1:1" ht="18.75" customHeight="1">
      <c r="A7718"/>
    </row>
    <row r="7719" spans="1:1" ht="18.75" customHeight="1">
      <c r="A7719"/>
    </row>
    <row r="7720" spans="1:1" ht="18.75" customHeight="1">
      <c r="A7720"/>
    </row>
    <row r="7721" spans="1:1" ht="18.75" customHeight="1">
      <c r="A7721"/>
    </row>
    <row r="7722" spans="1:1" ht="18.75" customHeight="1">
      <c r="A7722"/>
    </row>
    <row r="7723" spans="1:1" ht="18.75" customHeight="1">
      <c r="A7723"/>
    </row>
    <row r="7724" spans="1:1" ht="18.75" customHeight="1">
      <c r="A7724"/>
    </row>
    <row r="7725" spans="1:1" ht="18.75" customHeight="1">
      <c r="A7725"/>
    </row>
    <row r="7726" spans="1:1" ht="18.75" customHeight="1">
      <c r="A7726"/>
    </row>
    <row r="7727" spans="1:1" ht="18.75" customHeight="1">
      <c r="A7727"/>
    </row>
    <row r="7728" spans="1:1" ht="18.75" customHeight="1">
      <c r="A7728"/>
    </row>
    <row r="7729" spans="1:1" ht="18.75" customHeight="1">
      <c r="A7729"/>
    </row>
    <row r="7730" spans="1:1" ht="18.75" customHeight="1">
      <c r="A7730"/>
    </row>
    <row r="7731" spans="1:1" ht="18.75" customHeight="1">
      <c r="A7731"/>
    </row>
    <row r="7732" spans="1:1" ht="18.75" customHeight="1">
      <c r="A7732"/>
    </row>
    <row r="7733" spans="1:1" ht="18.75" customHeight="1">
      <c r="A7733"/>
    </row>
    <row r="7734" spans="1:1" ht="18.75" customHeight="1">
      <c r="A7734"/>
    </row>
    <row r="7735" spans="1:1" ht="18.75" customHeight="1">
      <c r="A7735"/>
    </row>
    <row r="7736" spans="1:1" ht="18.75" customHeight="1">
      <c r="A7736"/>
    </row>
    <row r="7737" spans="1:1" ht="18.75" customHeight="1">
      <c r="A7737"/>
    </row>
    <row r="7738" spans="1:1" ht="18.75" customHeight="1">
      <c r="A7738"/>
    </row>
    <row r="7739" spans="1:1" ht="18.75" customHeight="1">
      <c r="A7739"/>
    </row>
    <row r="7740" spans="1:1" ht="18.75" customHeight="1">
      <c r="A7740"/>
    </row>
    <row r="7741" spans="1:1" ht="18.75" customHeight="1">
      <c r="A7741"/>
    </row>
    <row r="7742" spans="1:1" ht="18.75" customHeight="1">
      <c r="A7742"/>
    </row>
    <row r="7743" spans="1:1" ht="18.75" customHeight="1">
      <c r="A7743"/>
    </row>
    <row r="7744" spans="1:1" ht="18.75" customHeight="1">
      <c r="A7744"/>
    </row>
    <row r="7745" spans="1:1" ht="18.75" customHeight="1">
      <c r="A7745"/>
    </row>
    <row r="7746" spans="1:1" ht="18.75" customHeight="1">
      <c r="A7746"/>
    </row>
    <row r="7747" spans="1:1" ht="18.75" customHeight="1">
      <c r="A7747"/>
    </row>
    <row r="7748" spans="1:1" ht="18.75" customHeight="1">
      <c r="A7748"/>
    </row>
    <row r="7749" spans="1:1" ht="18.75" customHeight="1">
      <c r="A7749"/>
    </row>
    <row r="7750" spans="1:1" ht="18.75" customHeight="1">
      <c r="A7750"/>
    </row>
    <row r="7751" spans="1:1" ht="18.75" customHeight="1">
      <c r="A7751"/>
    </row>
    <row r="7752" spans="1:1" ht="18.75" customHeight="1">
      <c r="A7752"/>
    </row>
    <row r="7753" spans="1:1" ht="18.75" customHeight="1">
      <c r="A7753"/>
    </row>
    <row r="7754" spans="1:1" ht="18.75" customHeight="1">
      <c r="A7754"/>
    </row>
    <row r="7755" spans="1:1" ht="18.75" customHeight="1">
      <c r="A7755"/>
    </row>
    <row r="7756" spans="1:1" ht="18.75" customHeight="1">
      <c r="A7756"/>
    </row>
    <row r="7757" spans="1:1" ht="18.75" customHeight="1">
      <c r="A7757"/>
    </row>
    <row r="7758" spans="1:1" ht="18.75" customHeight="1">
      <c r="A7758"/>
    </row>
    <row r="7759" spans="1:1" ht="18.75" customHeight="1">
      <c r="A7759"/>
    </row>
    <row r="7760" spans="1:1" ht="18.75" customHeight="1">
      <c r="A7760"/>
    </row>
    <row r="7761" spans="1:1" ht="18.75" customHeight="1">
      <c r="A7761"/>
    </row>
    <row r="7762" spans="1:1" ht="18.75" customHeight="1">
      <c r="A7762"/>
    </row>
    <row r="7763" spans="1:1" ht="18.75" customHeight="1">
      <c r="A7763"/>
    </row>
    <row r="7764" spans="1:1" ht="18.75" customHeight="1">
      <c r="A7764"/>
    </row>
    <row r="7765" spans="1:1" ht="18.75" customHeight="1">
      <c r="A7765"/>
    </row>
    <row r="7766" spans="1:1" ht="18.75" customHeight="1">
      <c r="A7766"/>
    </row>
    <row r="7767" spans="1:1" ht="18.75" customHeight="1">
      <c r="A7767"/>
    </row>
    <row r="7768" spans="1:1" ht="18.75" customHeight="1">
      <c r="A7768"/>
    </row>
    <row r="7769" spans="1:1" ht="18.75" customHeight="1">
      <c r="A7769"/>
    </row>
    <row r="7770" spans="1:1" ht="18.75" customHeight="1">
      <c r="A7770"/>
    </row>
    <row r="7771" spans="1:1" ht="18.75" customHeight="1">
      <c r="A7771"/>
    </row>
    <row r="7772" spans="1:1" ht="18.75" customHeight="1">
      <c r="A7772"/>
    </row>
    <row r="7773" spans="1:1" ht="18.75" customHeight="1">
      <c r="A7773"/>
    </row>
    <row r="7774" spans="1:1" ht="18.75" customHeight="1">
      <c r="A7774"/>
    </row>
    <row r="7775" spans="1:1" ht="18.75" customHeight="1">
      <c r="A7775"/>
    </row>
    <row r="7776" spans="1:1" ht="18.75" customHeight="1">
      <c r="A7776"/>
    </row>
    <row r="7777" spans="1:1" ht="18.75" customHeight="1">
      <c r="A7777"/>
    </row>
    <row r="7778" spans="1:1" ht="18.75" customHeight="1">
      <c r="A7778"/>
    </row>
    <row r="7779" spans="1:1" ht="18.75" customHeight="1">
      <c r="A7779"/>
    </row>
    <row r="7780" spans="1:1" ht="18.75" customHeight="1">
      <c r="A7780"/>
    </row>
    <row r="7781" spans="1:1" ht="18.75" customHeight="1">
      <c r="A7781"/>
    </row>
    <row r="7782" spans="1:1" ht="18.75" customHeight="1">
      <c r="A7782"/>
    </row>
    <row r="7783" spans="1:1" ht="18.75" customHeight="1">
      <c r="A7783"/>
    </row>
    <row r="7784" spans="1:1" ht="18.75" customHeight="1">
      <c r="A7784"/>
    </row>
    <row r="7785" spans="1:1" ht="18.75" customHeight="1">
      <c r="A7785"/>
    </row>
    <row r="7786" spans="1:1" ht="18.75" customHeight="1">
      <c r="A7786"/>
    </row>
    <row r="7787" spans="1:1" ht="18.75" customHeight="1">
      <c r="A7787"/>
    </row>
    <row r="7788" spans="1:1" ht="18.75" customHeight="1">
      <c r="A7788"/>
    </row>
    <row r="7789" spans="1:1" ht="18.75" customHeight="1">
      <c r="A7789"/>
    </row>
    <row r="7790" spans="1:1" ht="18.75" customHeight="1">
      <c r="A7790"/>
    </row>
    <row r="7791" spans="1:1" ht="18.75" customHeight="1">
      <c r="A7791"/>
    </row>
    <row r="7792" spans="1:1" ht="18.75" customHeight="1">
      <c r="A7792"/>
    </row>
    <row r="7793" spans="1:1" ht="18.75" customHeight="1">
      <c r="A7793"/>
    </row>
    <row r="7794" spans="1:1" ht="18.75" customHeight="1">
      <c r="A7794"/>
    </row>
    <row r="7795" spans="1:1" ht="18.75" customHeight="1">
      <c r="A7795"/>
    </row>
    <row r="7796" spans="1:1" ht="18.75" customHeight="1">
      <c r="A7796"/>
    </row>
    <row r="7797" spans="1:1" ht="18.75" customHeight="1">
      <c r="A7797"/>
    </row>
    <row r="7798" spans="1:1" ht="18.75" customHeight="1">
      <c r="A7798"/>
    </row>
    <row r="7799" spans="1:1" ht="18.75" customHeight="1">
      <c r="A7799"/>
    </row>
    <row r="7800" spans="1:1" ht="18.75" customHeight="1">
      <c r="A7800"/>
    </row>
    <row r="7801" spans="1:1" ht="18.75" customHeight="1">
      <c r="A7801"/>
    </row>
    <row r="7802" spans="1:1" ht="18.75" customHeight="1">
      <c r="A7802"/>
    </row>
    <row r="7803" spans="1:1" ht="18.75" customHeight="1">
      <c r="A7803"/>
    </row>
    <row r="7804" spans="1:1" ht="18.75" customHeight="1">
      <c r="A7804"/>
    </row>
    <row r="7805" spans="1:1" ht="18.75" customHeight="1">
      <c r="A7805"/>
    </row>
    <row r="7806" spans="1:1" ht="18.75" customHeight="1">
      <c r="A7806"/>
    </row>
    <row r="7807" spans="1:1" ht="18.75" customHeight="1">
      <c r="A7807"/>
    </row>
    <row r="7808" spans="1:1" ht="18.75" customHeight="1">
      <c r="A7808"/>
    </row>
    <row r="7809" spans="1:1" ht="18.75" customHeight="1">
      <c r="A7809"/>
    </row>
    <row r="7810" spans="1:1" ht="18.75" customHeight="1">
      <c r="A7810"/>
    </row>
    <row r="7811" spans="1:1" ht="18.75" customHeight="1">
      <c r="A7811"/>
    </row>
    <row r="7812" spans="1:1" ht="18.75" customHeight="1">
      <c r="A7812"/>
    </row>
    <row r="7813" spans="1:1" ht="18.75" customHeight="1">
      <c r="A7813"/>
    </row>
    <row r="7814" spans="1:1" ht="18.75" customHeight="1">
      <c r="A7814"/>
    </row>
    <row r="7815" spans="1:1" ht="18.75" customHeight="1">
      <c r="A7815"/>
    </row>
    <row r="7816" spans="1:1" ht="18.75" customHeight="1">
      <c r="A7816"/>
    </row>
    <row r="7817" spans="1:1" ht="18.75" customHeight="1">
      <c r="A7817"/>
    </row>
    <row r="7818" spans="1:1" ht="18.75" customHeight="1">
      <c r="A7818"/>
    </row>
    <row r="7819" spans="1:1" ht="18.75" customHeight="1">
      <c r="A7819"/>
    </row>
    <row r="7820" spans="1:1" ht="18.75" customHeight="1">
      <c r="A7820"/>
    </row>
    <row r="7821" spans="1:1" ht="18.75" customHeight="1">
      <c r="A7821"/>
    </row>
    <row r="7822" spans="1:1" ht="18.75" customHeight="1">
      <c r="A7822"/>
    </row>
    <row r="7823" spans="1:1" ht="18.75" customHeight="1">
      <c r="A7823"/>
    </row>
    <row r="7824" spans="1:1" ht="18.75" customHeight="1">
      <c r="A7824"/>
    </row>
    <row r="7825" spans="1:1" ht="18.75" customHeight="1">
      <c r="A7825"/>
    </row>
    <row r="7826" spans="1:1" ht="18.75" customHeight="1">
      <c r="A7826"/>
    </row>
    <row r="7827" spans="1:1" ht="18.75" customHeight="1">
      <c r="A7827"/>
    </row>
    <row r="7828" spans="1:1" ht="18.75" customHeight="1">
      <c r="A7828"/>
    </row>
    <row r="7829" spans="1:1" ht="18.75" customHeight="1">
      <c r="A7829"/>
    </row>
    <row r="7830" spans="1:1" ht="18.75" customHeight="1">
      <c r="A7830"/>
    </row>
    <row r="7831" spans="1:1" ht="18.75" customHeight="1">
      <c r="A7831"/>
    </row>
    <row r="7832" spans="1:1" ht="18.75" customHeight="1">
      <c r="A7832"/>
    </row>
    <row r="7833" spans="1:1" ht="18.75" customHeight="1">
      <c r="A7833"/>
    </row>
    <row r="7834" spans="1:1" ht="18.75" customHeight="1">
      <c r="A7834"/>
    </row>
    <row r="7835" spans="1:1" ht="18.75" customHeight="1">
      <c r="A7835"/>
    </row>
    <row r="7836" spans="1:1" ht="18.75" customHeight="1">
      <c r="A7836"/>
    </row>
    <row r="7837" spans="1:1" ht="18.75" customHeight="1">
      <c r="A7837"/>
    </row>
    <row r="7838" spans="1:1" ht="18.75" customHeight="1">
      <c r="A7838"/>
    </row>
    <row r="7839" spans="1:1" ht="18.75" customHeight="1">
      <c r="A7839"/>
    </row>
    <row r="7840" spans="1:1" ht="18.75" customHeight="1">
      <c r="A7840"/>
    </row>
    <row r="7841" spans="1:1" ht="18.75" customHeight="1">
      <c r="A7841"/>
    </row>
    <row r="7842" spans="1:1" ht="18.75" customHeight="1">
      <c r="A7842"/>
    </row>
    <row r="7843" spans="1:1" ht="18.75" customHeight="1">
      <c r="A7843"/>
    </row>
    <row r="7844" spans="1:1" ht="18.75" customHeight="1">
      <c r="A7844"/>
    </row>
    <row r="7845" spans="1:1" ht="18.75" customHeight="1">
      <c r="A7845"/>
    </row>
    <row r="7846" spans="1:1" ht="18.75" customHeight="1">
      <c r="A7846"/>
    </row>
    <row r="7847" spans="1:1" ht="18.75" customHeight="1">
      <c r="A7847"/>
    </row>
    <row r="7848" spans="1:1" ht="18.75" customHeight="1">
      <c r="A7848"/>
    </row>
    <row r="7849" spans="1:1" ht="18.75" customHeight="1">
      <c r="A7849"/>
    </row>
    <row r="7850" spans="1:1" ht="18.75" customHeight="1">
      <c r="A7850"/>
    </row>
    <row r="7851" spans="1:1" ht="18.75" customHeight="1">
      <c r="A7851"/>
    </row>
    <row r="7852" spans="1:1" ht="18.75" customHeight="1">
      <c r="A7852"/>
    </row>
    <row r="7853" spans="1:1" ht="18.75" customHeight="1">
      <c r="A7853"/>
    </row>
    <row r="7854" spans="1:1" ht="18.75" customHeight="1">
      <c r="A7854"/>
    </row>
    <row r="7855" spans="1:1" ht="18.75" customHeight="1">
      <c r="A7855"/>
    </row>
    <row r="7856" spans="1:1" ht="18.75" customHeight="1">
      <c r="A7856"/>
    </row>
    <row r="7857" spans="1:1" ht="18.75" customHeight="1">
      <c r="A7857"/>
    </row>
    <row r="7858" spans="1:1" ht="18.75" customHeight="1">
      <c r="A7858"/>
    </row>
    <row r="7859" spans="1:1" ht="18.75" customHeight="1">
      <c r="A7859"/>
    </row>
    <row r="7860" spans="1:1" ht="18.75" customHeight="1">
      <c r="A7860"/>
    </row>
    <row r="7861" spans="1:1" ht="18.75" customHeight="1">
      <c r="A7861"/>
    </row>
    <row r="7862" spans="1:1" ht="18.75" customHeight="1">
      <c r="A7862"/>
    </row>
    <row r="7863" spans="1:1" ht="18.75" customHeight="1">
      <c r="A7863"/>
    </row>
    <row r="7864" spans="1:1" ht="18.75" customHeight="1">
      <c r="A7864"/>
    </row>
    <row r="7865" spans="1:1" ht="18.75" customHeight="1">
      <c r="A7865"/>
    </row>
    <row r="7866" spans="1:1" ht="18.75" customHeight="1">
      <c r="A7866"/>
    </row>
    <row r="7867" spans="1:1" ht="18.75" customHeight="1">
      <c r="A7867"/>
    </row>
    <row r="7868" spans="1:1" ht="18.75" customHeight="1">
      <c r="A7868"/>
    </row>
    <row r="7869" spans="1:1" ht="18.75" customHeight="1">
      <c r="A7869"/>
    </row>
    <row r="7870" spans="1:1" ht="18.75" customHeight="1">
      <c r="A7870"/>
    </row>
    <row r="7871" spans="1:1" ht="18.75" customHeight="1">
      <c r="A7871"/>
    </row>
    <row r="7872" spans="1:1" ht="18.75" customHeight="1">
      <c r="A7872"/>
    </row>
    <row r="7873" spans="1:1" ht="18.75" customHeight="1">
      <c r="A7873"/>
    </row>
    <row r="7874" spans="1:1" ht="18.75" customHeight="1">
      <c r="A7874"/>
    </row>
    <row r="7875" spans="1:1" ht="18.75" customHeight="1">
      <c r="A7875"/>
    </row>
    <row r="7876" spans="1:1" ht="18.75" customHeight="1">
      <c r="A7876"/>
    </row>
    <row r="7877" spans="1:1" ht="18.75" customHeight="1">
      <c r="A7877"/>
    </row>
    <row r="7878" spans="1:1" ht="18.75" customHeight="1">
      <c r="A7878"/>
    </row>
    <row r="7879" spans="1:1" ht="18.75" customHeight="1">
      <c r="A7879"/>
    </row>
    <row r="7880" spans="1:1" ht="18.75" customHeight="1">
      <c r="A7880"/>
    </row>
    <row r="7881" spans="1:1" ht="18.75" customHeight="1">
      <c r="A7881"/>
    </row>
    <row r="7882" spans="1:1" ht="18.75" customHeight="1">
      <c r="A7882"/>
    </row>
    <row r="7883" spans="1:1" ht="18.75" customHeight="1">
      <c r="A7883"/>
    </row>
    <row r="7884" spans="1:1" ht="18.75" customHeight="1">
      <c r="A7884"/>
    </row>
    <row r="7885" spans="1:1" ht="18.75" customHeight="1">
      <c r="A7885"/>
    </row>
    <row r="7886" spans="1:1" ht="18.75" customHeight="1">
      <c r="A7886"/>
    </row>
    <row r="7887" spans="1:1" ht="18.75" customHeight="1">
      <c r="A7887"/>
    </row>
    <row r="7888" spans="1:1" ht="18.75" customHeight="1">
      <c r="A7888"/>
    </row>
    <row r="7889" spans="1:1" ht="18.75" customHeight="1">
      <c r="A7889"/>
    </row>
    <row r="7890" spans="1:1" ht="18.75" customHeight="1">
      <c r="A7890"/>
    </row>
    <row r="7891" spans="1:1" ht="18.75" customHeight="1">
      <c r="A7891"/>
    </row>
    <row r="7892" spans="1:1" ht="18.75" customHeight="1">
      <c r="A7892"/>
    </row>
    <row r="7893" spans="1:1" ht="18.75" customHeight="1">
      <c r="A7893"/>
    </row>
    <row r="7894" spans="1:1" ht="18.75" customHeight="1">
      <c r="A7894"/>
    </row>
    <row r="7895" spans="1:1" ht="18.75" customHeight="1">
      <c r="A7895"/>
    </row>
    <row r="7896" spans="1:1" ht="18.75" customHeight="1">
      <c r="A7896"/>
    </row>
    <row r="7897" spans="1:1" ht="18.75" customHeight="1">
      <c r="A7897"/>
    </row>
    <row r="7898" spans="1:1" ht="18.75" customHeight="1">
      <c r="A7898"/>
    </row>
    <row r="7899" spans="1:1" ht="18.75" customHeight="1">
      <c r="A7899"/>
    </row>
    <row r="7900" spans="1:1" ht="18.75" customHeight="1">
      <c r="A7900"/>
    </row>
    <row r="7901" spans="1:1" ht="18.75" customHeight="1">
      <c r="A7901"/>
    </row>
    <row r="7902" spans="1:1" ht="18.75" customHeight="1">
      <c r="A7902"/>
    </row>
    <row r="7903" spans="1:1" ht="18.75" customHeight="1">
      <c r="A7903"/>
    </row>
    <row r="7904" spans="1:1" ht="18.75" customHeight="1">
      <c r="A7904"/>
    </row>
    <row r="7905" spans="1:1" ht="18.75" customHeight="1">
      <c r="A7905"/>
    </row>
    <row r="7906" spans="1:1" ht="18.75" customHeight="1">
      <c r="A7906"/>
    </row>
    <row r="7907" spans="1:1" ht="18.75" customHeight="1">
      <c r="A7907"/>
    </row>
    <row r="7908" spans="1:1" ht="18.75" customHeight="1">
      <c r="A7908"/>
    </row>
    <row r="7909" spans="1:1" ht="18.75" customHeight="1">
      <c r="A7909"/>
    </row>
    <row r="7910" spans="1:1" ht="18.75" customHeight="1">
      <c r="A7910"/>
    </row>
    <row r="7911" spans="1:1" ht="18.75" customHeight="1">
      <c r="A7911"/>
    </row>
    <row r="7912" spans="1:1" ht="18.75" customHeight="1">
      <c r="A7912"/>
    </row>
    <row r="7913" spans="1:1" ht="18.75" customHeight="1">
      <c r="A7913"/>
    </row>
    <row r="7914" spans="1:1" ht="18.75" customHeight="1">
      <c r="A7914"/>
    </row>
    <row r="7915" spans="1:1" ht="18.75" customHeight="1">
      <c r="A7915"/>
    </row>
    <row r="7916" spans="1:1" ht="18.75" customHeight="1">
      <c r="A7916"/>
    </row>
    <row r="7917" spans="1:1" ht="18.75" customHeight="1">
      <c r="A7917"/>
    </row>
    <row r="7918" spans="1:1" ht="18.75" customHeight="1">
      <c r="A7918"/>
    </row>
    <row r="7919" spans="1:1" ht="18.75" customHeight="1">
      <c r="A7919"/>
    </row>
    <row r="7920" spans="1:1" ht="18.75" customHeight="1">
      <c r="A7920"/>
    </row>
    <row r="7921" spans="1:1" ht="18.75" customHeight="1">
      <c r="A7921"/>
    </row>
    <row r="7922" spans="1:1" ht="18.75" customHeight="1">
      <c r="A7922"/>
    </row>
    <row r="7923" spans="1:1" ht="18.75" customHeight="1">
      <c r="A7923"/>
    </row>
    <row r="7924" spans="1:1" ht="18.75" customHeight="1">
      <c r="A7924"/>
    </row>
    <row r="7925" spans="1:1" ht="18.75" customHeight="1">
      <c r="A7925"/>
    </row>
    <row r="7926" spans="1:1" ht="18.75" customHeight="1">
      <c r="A7926"/>
    </row>
    <row r="7927" spans="1:1" ht="18.75" customHeight="1">
      <c r="A7927"/>
    </row>
    <row r="7928" spans="1:1" ht="18.75" customHeight="1">
      <c r="A7928"/>
    </row>
    <row r="7929" spans="1:1" ht="18.75" customHeight="1">
      <c r="A7929"/>
    </row>
    <row r="7930" spans="1:1" ht="18.75" customHeight="1">
      <c r="A7930"/>
    </row>
    <row r="7931" spans="1:1" ht="18.75" customHeight="1">
      <c r="A7931"/>
    </row>
    <row r="7932" spans="1:1" ht="18.75" customHeight="1">
      <c r="A7932"/>
    </row>
    <row r="7933" spans="1:1" ht="18.75" customHeight="1">
      <c r="A7933"/>
    </row>
    <row r="7934" spans="1:1" ht="18.75" customHeight="1">
      <c r="A7934"/>
    </row>
    <row r="7935" spans="1:1" ht="18.75" customHeight="1">
      <c r="A7935"/>
    </row>
    <row r="7936" spans="1:1" ht="18.75" customHeight="1">
      <c r="A7936"/>
    </row>
    <row r="7937" spans="1:1" ht="18.75" customHeight="1">
      <c r="A7937"/>
    </row>
    <row r="7938" spans="1:1" ht="18.75" customHeight="1">
      <c r="A7938"/>
    </row>
    <row r="7939" spans="1:1" ht="18.75" customHeight="1">
      <c r="A7939"/>
    </row>
    <row r="7940" spans="1:1" ht="18.75" customHeight="1">
      <c r="A7940"/>
    </row>
    <row r="7941" spans="1:1" ht="18.75" customHeight="1">
      <c r="A7941"/>
    </row>
    <row r="7942" spans="1:1" ht="18.75" customHeight="1">
      <c r="A7942"/>
    </row>
    <row r="7943" spans="1:1" ht="18.75" customHeight="1">
      <c r="A7943"/>
    </row>
    <row r="7944" spans="1:1" ht="18.75" customHeight="1">
      <c r="A7944"/>
    </row>
    <row r="7945" spans="1:1" ht="18.75" customHeight="1">
      <c r="A7945"/>
    </row>
    <row r="7946" spans="1:1" ht="18.75" customHeight="1">
      <c r="A7946"/>
    </row>
    <row r="7947" spans="1:1" ht="18.75" customHeight="1">
      <c r="A7947"/>
    </row>
    <row r="7948" spans="1:1" ht="18.75" customHeight="1">
      <c r="A7948"/>
    </row>
    <row r="7949" spans="1:1" ht="18.75" customHeight="1">
      <c r="A7949"/>
    </row>
    <row r="7950" spans="1:1" ht="18.75" customHeight="1">
      <c r="A7950"/>
    </row>
    <row r="7951" spans="1:1" ht="18.75" customHeight="1">
      <c r="A7951"/>
    </row>
    <row r="7952" spans="1:1" ht="18.75" customHeight="1">
      <c r="A7952"/>
    </row>
    <row r="7953" spans="1:1" ht="18.75" customHeight="1">
      <c r="A7953"/>
    </row>
    <row r="7954" spans="1:1" ht="18.75" customHeight="1">
      <c r="A7954"/>
    </row>
    <row r="7955" spans="1:1" ht="18.75" customHeight="1">
      <c r="A7955"/>
    </row>
    <row r="7956" spans="1:1" ht="18.75" customHeight="1">
      <c r="A7956"/>
    </row>
    <row r="7957" spans="1:1" ht="18.75" customHeight="1">
      <c r="A7957"/>
    </row>
    <row r="7958" spans="1:1" ht="18.75" customHeight="1">
      <c r="A7958"/>
    </row>
    <row r="7959" spans="1:1" ht="18.75" customHeight="1">
      <c r="A7959"/>
    </row>
    <row r="7960" spans="1:1" ht="18.75" customHeight="1">
      <c r="A7960"/>
    </row>
    <row r="7961" spans="1:1" ht="18.75" customHeight="1">
      <c r="A7961"/>
    </row>
    <row r="7962" spans="1:1" ht="18.75" customHeight="1">
      <c r="A7962"/>
    </row>
    <row r="7963" spans="1:1" ht="18.75" customHeight="1">
      <c r="A7963"/>
    </row>
    <row r="7964" spans="1:1" ht="18.75" customHeight="1">
      <c r="A7964"/>
    </row>
    <row r="7965" spans="1:1" ht="18.75" customHeight="1">
      <c r="A7965"/>
    </row>
    <row r="7966" spans="1:1" ht="18.75" customHeight="1">
      <c r="A7966"/>
    </row>
    <row r="7967" spans="1:1" ht="18.75" customHeight="1">
      <c r="A7967"/>
    </row>
    <row r="7968" spans="1:1" ht="18.75" customHeight="1">
      <c r="A7968"/>
    </row>
    <row r="7969" spans="1:1" ht="18.75" customHeight="1">
      <c r="A7969"/>
    </row>
    <row r="7970" spans="1:1" ht="18.75" customHeight="1">
      <c r="A7970"/>
    </row>
    <row r="7971" spans="1:1" ht="18.75" customHeight="1">
      <c r="A7971"/>
    </row>
    <row r="7972" spans="1:1" ht="18.75" customHeight="1">
      <c r="A7972"/>
    </row>
    <row r="7973" spans="1:1" ht="18.75" customHeight="1">
      <c r="A7973"/>
    </row>
    <row r="7974" spans="1:1" ht="18.75" customHeight="1">
      <c r="A7974"/>
    </row>
    <row r="7975" spans="1:1" ht="18.75" customHeight="1">
      <c r="A7975"/>
    </row>
    <row r="7976" spans="1:1" ht="18.75" customHeight="1">
      <c r="A7976"/>
    </row>
    <row r="7977" spans="1:1" ht="18.75" customHeight="1">
      <c r="A7977"/>
    </row>
    <row r="7978" spans="1:1" ht="18.75" customHeight="1">
      <c r="A7978"/>
    </row>
    <row r="7979" spans="1:1" ht="18.75" customHeight="1">
      <c r="A7979"/>
    </row>
    <row r="7980" spans="1:1" ht="18.75" customHeight="1">
      <c r="A7980"/>
    </row>
    <row r="7981" spans="1:1" ht="18.75" customHeight="1">
      <c r="A7981"/>
    </row>
    <row r="7982" spans="1:1" ht="18.75" customHeight="1">
      <c r="A7982"/>
    </row>
    <row r="7983" spans="1:1" ht="18.75" customHeight="1">
      <c r="A7983"/>
    </row>
    <row r="7984" spans="1:1" ht="18.75" customHeight="1">
      <c r="A7984"/>
    </row>
    <row r="7985" spans="1:1" ht="18.75" customHeight="1">
      <c r="A7985"/>
    </row>
    <row r="7986" spans="1:1" ht="18.75" customHeight="1">
      <c r="A7986"/>
    </row>
    <row r="7987" spans="1:1" ht="18.75" customHeight="1">
      <c r="A7987"/>
    </row>
    <row r="7988" spans="1:1" ht="18.75" customHeight="1">
      <c r="A7988"/>
    </row>
    <row r="7989" spans="1:1" ht="18.75" customHeight="1">
      <c r="A7989"/>
    </row>
    <row r="7990" spans="1:1" ht="18.75" customHeight="1">
      <c r="A7990"/>
    </row>
    <row r="7991" spans="1:1" ht="18.75" customHeight="1">
      <c r="A7991"/>
    </row>
    <row r="7992" spans="1:1" ht="18.75" customHeight="1">
      <c r="A7992"/>
    </row>
    <row r="7993" spans="1:1" ht="18.75" customHeight="1">
      <c r="A7993"/>
    </row>
    <row r="7994" spans="1:1" ht="18.75" customHeight="1">
      <c r="A7994"/>
    </row>
    <row r="7995" spans="1:1" ht="18.75" customHeight="1">
      <c r="A7995"/>
    </row>
    <row r="7996" spans="1:1" ht="18.75" customHeight="1">
      <c r="A7996"/>
    </row>
    <row r="7997" spans="1:1" ht="18.75" customHeight="1">
      <c r="A7997"/>
    </row>
    <row r="7998" spans="1:1" ht="18.75" customHeight="1">
      <c r="A7998"/>
    </row>
    <row r="7999" spans="1:1" ht="18.75" customHeight="1">
      <c r="A7999"/>
    </row>
    <row r="8000" spans="1:1" ht="18.75" customHeight="1">
      <c r="A8000"/>
    </row>
    <row r="8001" spans="1:1" ht="18.75" customHeight="1">
      <c r="A8001"/>
    </row>
    <row r="8002" spans="1:1" ht="18.75" customHeight="1">
      <c r="A8002"/>
    </row>
    <row r="8003" spans="1:1" ht="18.75" customHeight="1">
      <c r="A8003"/>
    </row>
    <row r="8004" spans="1:1" ht="18.75" customHeight="1">
      <c r="A8004"/>
    </row>
    <row r="8005" spans="1:1" ht="18.75" customHeight="1">
      <c r="A8005"/>
    </row>
    <row r="8006" spans="1:1" ht="18.75" customHeight="1">
      <c r="A8006"/>
    </row>
    <row r="8007" spans="1:1" ht="18.75" customHeight="1">
      <c r="A8007"/>
    </row>
    <row r="8008" spans="1:1" ht="18.75" customHeight="1">
      <c r="A8008"/>
    </row>
    <row r="8009" spans="1:1" ht="18.75" customHeight="1">
      <c r="A8009"/>
    </row>
    <row r="8010" spans="1:1" ht="18.75" customHeight="1">
      <c r="A8010"/>
    </row>
    <row r="8011" spans="1:1" ht="18.75" customHeight="1">
      <c r="A8011"/>
    </row>
    <row r="8012" spans="1:1" ht="18.75" customHeight="1">
      <c r="A8012"/>
    </row>
    <row r="8013" spans="1:1" ht="18.75" customHeight="1">
      <c r="A8013"/>
    </row>
    <row r="8014" spans="1:1" ht="18.75" customHeight="1">
      <c r="A8014"/>
    </row>
    <row r="8015" spans="1:1" ht="18.75" customHeight="1">
      <c r="A8015"/>
    </row>
    <row r="8016" spans="1:1" ht="18.75" customHeight="1">
      <c r="A8016"/>
    </row>
    <row r="8017" spans="1:1" ht="18.75" customHeight="1">
      <c r="A8017"/>
    </row>
    <row r="8018" spans="1:1" ht="18.75" customHeight="1">
      <c r="A8018"/>
    </row>
    <row r="8019" spans="1:1" ht="18.75" customHeight="1">
      <c r="A8019"/>
    </row>
    <row r="8020" spans="1:1" ht="18.75" customHeight="1">
      <c r="A8020"/>
    </row>
    <row r="8021" spans="1:1" ht="18.75" customHeight="1">
      <c r="A8021"/>
    </row>
    <row r="8022" spans="1:1" ht="18.75" customHeight="1">
      <c r="A8022"/>
    </row>
    <row r="8023" spans="1:1" ht="18.75" customHeight="1">
      <c r="A8023"/>
    </row>
    <row r="8024" spans="1:1" ht="18.75" customHeight="1">
      <c r="A8024"/>
    </row>
    <row r="8025" spans="1:1" ht="18.75" customHeight="1">
      <c r="A8025"/>
    </row>
    <row r="8026" spans="1:1" ht="18.75" customHeight="1">
      <c r="A8026"/>
    </row>
    <row r="8027" spans="1:1" ht="18.75" customHeight="1">
      <c r="A8027"/>
    </row>
    <row r="8028" spans="1:1" ht="18.75" customHeight="1">
      <c r="A8028"/>
    </row>
    <row r="8029" spans="1:1" ht="18.75" customHeight="1">
      <c r="A8029"/>
    </row>
    <row r="8030" spans="1:1" ht="18.75" customHeight="1">
      <c r="A8030"/>
    </row>
    <row r="8031" spans="1:1" ht="18.75" customHeight="1">
      <c r="A8031"/>
    </row>
    <row r="8032" spans="1:1" ht="18.75" customHeight="1">
      <c r="A8032"/>
    </row>
    <row r="8033" spans="1:1" ht="18.75" customHeight="1">
      <c r="A8033"/>
    </row>
    <row r="8034" spans="1:1" ht="18.75" customHeight="1">
      <c r="A8034"/>
    </row>
    <row r="8035" spans="1:1" ht="18.75" customHeight="1">
      <c r="A8035"/>
    </row>
    <row r="8036" spans="1:1" ht="18.75" customHeight="1">
      <c r="A8036"/>
    </row>
    <row r="8037" spans="1:1" ht="18.75" customHeight="1">
      <c r="A8037"/>
    </row>
    <row r="8038" spans="1:1" ht="18.75" customHeight="1">
      <c r="A8038"/>
    </row>
    <row r="8039" spans="1:1" ht="18.75" customHeight="1">
      <c r="A8039"/>
    </row>
    <row r="8040" spans="1:1" ht="18.75" customHeight="1">
      <c r="A8040"/>
    </row>
    <row r="8041" spans="1:1" ht="18.75" customHeight="1">
      <c r="A8041"/>
    </row>
    <row r="8042" spans="1:1" ht="18.75" customHeight="1">
      <c r="A8042"/>
    </row>
    <row r="8043" spans="1:1" ht="18.75" customHeight="1">
      <c r="A8043"/>
    </row>
    <row r="8044" spans="1:1" ht="18.75" customHeight="1">
      <c r="A8044"/>
    </row>
    <row r="8045" spans="1:1" ht="18.75" customHeight="1">
      <c r="A8045"/>
    </row>
    <row r="8046" spans="1:1" ht="18.75" customHeight="1">
      <c r="A8046"/>
    </row>
    <row r="8047" spans="1:1" ht="18.75" customHeight="1">
      <c r="A8047"/>
    </row>
    <row r="8048" spans="1:1" ht="18.75" customHeight="1">
      <c r="A8048"/>
    </row>
    <row r="8049" spans="1:1" ht="18.75" customHeight="1">
      <c r="A8049"/>
    </row>
    <row r="8050" spans="1:1" ht="18.75" customHeight="1">
      <c r="A8050"/>
    </row>
    <row r="8051" spans="1:1" ht="18.75" customHeight="1">
      <c r="A8051"/>
    </row>
    <row r="8052" spans="1:1" ht="18.75" customHeight="1">
      <c r="A8052"/>
    </row>
    <row r="8053" spans="1:1" ht="18.75" customHeight="1">
      <c r="A8053"/>
    </row>
    <row r="8054" spans="1:1" ht="18.75" customHeight="1">
      <c r="A8054"/>
    </row>
    <row r="8055" spans="1:1" ht="18.75" customHeight="1">
      <c r="A8055"/>
    </row>
    <row r="8056" spans="1:1" ht="18.75" customHeight="1">
      <c r="A8056"/>
    </row>
    <row r="8057" spans="1:1" ht="18.75" customHeight="1">
      <c r="A8057"/>
    </row>
    <row r="8058" spans="1:1" ht="18.75" customHeight="1">
      <c r="A8058"/>
    </row>
    <row r="8059" spans="1:1" ht="18.75" customHeight="1">
      <c r="A8059"/>
    </row>
    <row r="8060" spans="1:1" ht="18.75" customHeight="1">
      <c r="A8060"/>
    </row>
    <row r="8061" spans="1:1" ht="18.75" customHeight="1">
      <c r="A8061"/>
    </row>
    <row r="8062" spans="1:1" ht="18.75" customHeight="1">
      <c r="A8062"/>
    </row>
    <row r="8063" spans="1:1" ht="18.75" customHeight="1">
      <c r="A8063"/>
    </row>
    <row r="8064" spans="1:1" ht="18.75" customHeight="1">
      <c r="A8064"/>
    </row>
    <row r="8065" spans="1:1" ht="18.75" customHeight="1">
      <c r="A8065"/>
    </row>
    <row r="8066" spans="1:1" ht="18.75" customHeight="1">
      <c r="A8066"/>
    </row>
    <row r="8067" spans="1:1" ht="18.75" customHeight="1">
      <c r="A8067"/>
    </row>
    <row r="8068" spans="1:1" ht="18.75" customHeight="1">
      <c r="A8068"/>
    </row>
    <row r="8069" spans="1:1" ht="18.75" customHeight="1">
      <c r="A8069"/>
    </row>
    <row r="8070" spans="1:1" ht="18.75" customHeight="1">
      <c r="A8070"/>
    </row>
    <row r="8071" spans="1:1" ht="18.75" customHeight="1">
      <c r="A8071"/>
    </row>
    <row r="8072" spans="1:1" ht="18.75" customHeight="1">
      <c r="A8072"/>
    </row>
    <row r="8073" spans="1:1" ht="18.75" customHeight="1">
      <c r="A8073"/>
    </row>
    <row r="8074" spans="1:1" ht="18.75" customHeight="1">
      <c r="A8074"/>
    </row>
    <row r="8075" spans="1:1" ht="18.75" customHeight="1">
      <c r="A8075"/>
    </row>
    <row r="8076" spans="1:1" ht="18.75" customHeight="1">
      <c r="A8076"/>
    </row>
    <row r="8077" spans="1:1" ht="18.75" customHeight="1">
      <c r="A8077"/>
    </row>
    <row r="8078" spans="1:1" ht="18.75" customHeight="1">
      <c r="A8078"/>
    </row>
    <row r="8079" spans="1:1" ht="18.75" customHeight="1">
      <c r="A8079"/>
    </row>
    <row r="8080" spans="1:1" ht="18.75" customHeight="1">
      <c r="A8080"/>
    </row>
    <row r="8081" spans="1:1" ht="18.75" customHeight="1">
      <c r="A8081"/>
    </row>
    <row r="8082" spans="1:1" ht="18.75" customHeight="1">
      <c r="A8082"/>
    </row>
    <row r="8083" spans="1:1" ht="18.75" customHeight="1">
      <c r="A8083"/>
    </row>
    <row r="8084" spans="1:1" ht="18.75" customHeight="1">
      <c r="A8084"/>
    </row>
    <row r="8085" spans="1:1" ht="18.75" customHeight="1">
      <c r="A8085"/>
    </row>
    <row r="8086" spans="1:1" ht="18.75" customHeight="1">
      <c r="A8086"/>
    </row>
    <row r="8087" spans="1:1" ht="18.75" customHeight="1">
      <c r="A8087"/>
    </row>
    <row r="8088" spans="1:1" ht="18.75" customHeight="1">
      <c r="A8088"/>
    </row>
    <row r="8089" spans="1:1" ht="18.75" customHeight="1">
      <c r="A8089"/>
    </row>
    <row r="8090" spans="1:1" ht="18.75" customHeight="1">
      <c r="A8090"/>
    </row>
    <row r="8091" spans="1:1" ht="18.75" customHeight="1">
      <c r="A8091"/>
    </row>
    <row r="8092" spans="1:1" ht="18.75" customHeight="1">
      <c r="A8092"/>
    </row>
    <row r="8093" spans="1:1" ht="18.75" customHeight="1">
      <c r="A8093"/>
    </row>
    <row r="8094" spans="1:1" ht="18.75" customHeight="1">
      <c r="A8094"/>
    </row>
    <row r="8095" spans="1:1" ht="18.75" customHeight="1">
      <c r="A8095"/>
    </row>
    <row r="8096" spans="1:1" ht="18.75" customHeight="1">
      <c r="A8096"/>
    </row>
    <row r="8097" spans="1:1" ht="18.75" customHeight="1">
      <c r="A8097"/>
    </row>
    <row r="8098" spans="1:1" ht="18.75" customHeight="1">
      <c r="A8098"/>
    </row>
    <row r="8099" spans="1:1" ht="18.75" customHeight="1">
      <c r="A8099"/>
    </row>
    <row r="8100" spans="1:1" ht="18.75" customHeight="1">
      <c r="A8100"/>
    </row>
    <row r="8101" spans="1:1" ht="18.75" customHeight="1">
      <c r="A8101"/>
    </row>
    <row r="8102" spans="1:1" ht="18.75" customHeight="1">
      <c r="A8102"/>
    </row>
    <row r="8103" spans="1:1" ht="18.75" customHeight="1">
      <c r="A8103"/>
    </row>
    <row r="8104" spans="1:1" ht="18.75" customHeight="1">
      <c r="A8104"/>
    </row>
    <row r="8105" spans="1:1" ht="18.75" customHeight="1">
      <c r="A8105"/>
    </row>
    <row r="8106" spans="1:1" ht="18.75" customHeight="1">
      <c r="A8106"/>
    </row>
    <row r="8107" spans="1:1" ht="18.75" customHeight="1">
      <c r="A8107"/>
    </row>
    <row r="8108" spans="1:1" ht="18.75" customHeight="1">
      <c r="A8108"/>
    </row>
    <row r="8109" spans="1:1" ht="18.75" customHeight="1">
      <c r="A8109"/>
    </row>
    <row r="8110" spans="1:1" ht="18.75" customHeight="1">
      <c r="A8110"/>
    </row>
    <row r="8111" spans="1:1" ht="18.75" customHeight="1">
      <c r="A8111"/>
    </row>
    <row r="8112" spans="1:1" ht="18.75" customHeight="1">
      <c r="A8112"/>
    </row>
    <row r="8113" spans="1:1" ht="18.75" customHeight="1">
      <c r="A8113"/>
    </row>
    <row r="8114" spans="1:1" ht="18.75" customHeight="1">
      <c r="A8114"/>
    </row>
    <row r="8115" spans="1:1" ht="18.75" customHeight="1">
      <c r="A8115"/>
    </row>
    <row r="8116" spans="1:1" ht="18.75" customHeight="1">
      <c r="A8116"/>
    </row>
    <row r="8117" spans="1:1" ht="18.75" customHeight="1">
      <c r="A8117"/>
    </row>
    <row r="8118" spans="1:1" ht="18.75" customHeight="1">
      <c r="A8118"/>
    </row>
    <row r="8119" spans="1:1" ht="18.75" customHeight="1">
      <c r="A8119"/>
    </row>
    <row r="8120" spans="1:1" ht="18.75" customHeight="1">
      <c r="A8120"/>
    </row>
    <row r="8121" spans="1:1" ht="18.75" customHeight="1">
      <c r="A8121"/>
    </row>
    <row r="8122" spans="1:1" ht="18.75" customHeight="1">
      <c r="A8122"/>
    </row>
    <row r="8123" spans="1:1" ht="18.75" customHeight="1">
      <c r="A8123"/>
    </row>
    <row r="8124" spans="1:1" ht="18.75" customHeight="1">
      <c r="A8124"/>
    </row>
    <row r="8125" spans="1:1" ht="18.75" customHeight="1">
      <c r="A8125"/>
    </row>
    <row r="8126" spans="1:1" ht="18.75" customHeight="1">
      <c r="A8126"/>
    </row>
    <row r="8127" spans="1:1" ht="18.75" customHeight="1">
      <c r="A8127"/>
    </row>
    <row r="8128" spans="1:1" ht="18.75" customHeight="1">
      <c r="A8128"/>
    </row>
    <row r="8129" spans="1:1" ht="18.75" customHeight="1">
      <c r="A8129"/>
    </row>
    <row r="8130" spans="1:1" ht="18.75" customHeight="1">
      <c r="A8130"/>
    </row>
    <row r="8131" spans="1:1" ht="18.75" customHeight="1">
      <c r="A8131"/>
    </row>
    <row r="8132" spans="1:1" ht="18.75" customHeight="1">
      <c r="A8132"/>
    </row>
    <row r="8133" spans="1:1" ht="18.75" customHeight="1">
      <c r="A8133"/>
    </row>
    <row r="8134" spans="1:1" ht="18.75" customHeight="1">
      <c r="A8134"/>
    </row>
    <row r="8135" spans="1:1" ht="18.75" customHeight="1">
      <c r="A8135"/>
    </row>
    <row r="8136" spans="1:1" ht="18.75" customHeight="1">
      <c r="A8136"/>
    </row>
    <row r="8137" spans="1:1" ht="18.75" customHeight="1">
      <c r="A8137"/>
    </row>
    <row r="8138" spans="1:1" ht="18.75" customHeight="1">
      <c r="A8138"/>
    </row>
    <row r="8139" spans="1:1" ht="18.75" customHeight="1">
      <c r="A8139"/>
    </row>
    <row r="8140" spans="1:1" ht="18.75" customHeight="1">
      <c r="A8140"/>
    </row>
    <row r="8141" spans="1:1" ht="18.75" customHeight="1">
      <c r="A8141"/>
    </row>
    <row r="8142" spans="1:1" ht="18.75" customHeight="1">
      <c r="A8142"/>
    </row>
    <row r="8143" spans="1:1" ht="18.75" customHeight="1">
      <c r="A8143"/>
    </row>
    <row r="8144" spans="1:1" ht="18.75" customHeight="1">
      <c r="A8144"/>
    </row>
    <row r="8145" spans="1:1" ht="18.75" customHeight="1">
      <c r="A8145"/>
    </row>
    <row r="8146" spans="1:1" ht="18.75" customHeight="1">
      <c r="A8146"/>
    </row>
    <row r="8147" spans="1:1" ht="18.75" customHeight="1">
      <c r="A8147"/>
    </row>
    <row r="8148" spans="1:1" ht="18.75" customHeight="1">
      <c r="A8148"/>
    </row>
    <row r="8149" spans="1:1" ht="18.75" customHeight="1">
      <c r="A8149"/>
    </row>
    <row r="8150" spans="1:1" ht="18.75" customHeight="1">
      <c r="A8150"/>
    </row>
    <row r="8151" spans="1:1" ht="18.75" customHeight="1">
      <c r="A8151"/>
    </row>
    <row r="8152" spans="1:1" ht="18.75" customHeight="1">
      <c r="A8152"/>
    </row>
    <row r="8153" spans="1:1" ht="18.75" customHeight="1">
      <c r="A8153"/>
    </row>
    <row r="8154" spans="1:1" ht="18.75" customHeight="1">
      <c r="A8154"/>
    </row>
    <row r="8155" spans="1:1" ht="18.75" customHeight="1">
      <c r="A8155"/>
    </row>
    <row r="8156" spans="1:1" ht="18.75" customHeight="1">
      <c r="A8156"/>
    </row>
    <row r="8157" spans="1:1" ht="18.75" customHeight="1">
      <c r="A8157"/>
    </row>
    <row r="8158" spans="1:1" ht="18.75" customHeight="1">
      <c r="A8158"/>
    </row>
    <row r="8159" spans="1:1" ht="18.75" customHeight="1">
      <c r="A8159"/>
    </row>
    <row r="8160" spans="1:1" ht="18.75" customHeight="1">
      <c r="A8160"/>
    </row>
    <row r="8161" spans="1:1" ht="18.75" customHeight="1">
      <c r="A8161"/>
    </row>
    <row r="8162" spans="1:1" ht="18.75" customHeight="1">
      <c r="A8162"/>
    </row>
    <row r="8163" spans="1:1" ht="18.75" customHeight="1">
      <c r="A8163"/>
    </row>
    <row r="8164" spans="1:1" ht="18.75" customHeight="1">
      <c r="A8164"/>
    </row>
    <row r="8165" spans="1:1" ht="18.75" customHeight="1">
      <c r="A8165"/>
    </row>
    <row r="8166" spans="1:1" ht="18.75" customHeight="1">
      <c r="A8166"/>
    </row>
    <row r="8167" spans="1:1" ht="18.75" customHeight="1">
      <c r="A8167"/>
    </row>
    <row r="8168" spans="1:1" ht="18.75" customHeight="1">
      <c r="A8168"/>
    </row>
    <row r="8169" spans="1:1" ht="18.75" customHeight="1">
      <c r="A8169"/>
    </row>
    <row r="8170" spans="1:1" ht="18.75" customHeight="1">
      <c r="A8170"/>
    </row>
    <row r="8171" spans="1:1" ht="18.75" customHeight="1">
      <c r="A8171"/>
    </row>
    <row r="8172" spans="1:1" ht="18.75" customHeight="1">
      <c r="A8172"/>
    </row>
    <row r="8173" spans="1:1" ht="18.75" customHeight="1">
      <c r="A8173"/>
    </row>
    <row r="8174" spans="1:1" ht="18.75" customHeight="1">
      <c r="A8174"/>
    </row>
    <row r="8175" spans="1:1" ht="18.75" customHeight="1">
      <c r="A8175"/>
    </row>
    <row r="8176" spans="1:1" ht="18.75" customHeight="1">
      <c r="A8176"/>
    </row>
    <row r="8177" spans="1:1" ht="18.75" customHeight="1">
      <c r="A8177"/>
    </row>
    <row r="8178" spans="1:1" ht="18.75" customHeight="1">
      <c r="A8178"/>
    </row>
    <row r="8179" spans="1:1" ht="18.75" customHeight="1">
      <c r="A8179"/>
    </row>
    <row r="8180" spans="1:1" ht="18.75" customHeight="1">
      <c r="A8180"/>
    </row>
    <row r="8181" spans="1:1" ht="18.75" customHeight="1">
      <c r="A8181"/>
    </row>
    <row r="8182" spans="1:1" ht="18.75" customHeight="1">
      <c r="A8182"/>
    </row>
    <row r="8183" spans="1:1" ht="18.75" customHeight="1">
      <c r="A8183"/>
    </row>
    <row r="8184" spans="1:1" ht="18.75" customHeight="1">
      <c r="A8184"/>
    </row>
    <row r="8185" spans="1:1" ht="18.75" customHeight="1">
      <c r="A8185"/>
    </row>
    <row r="8186" spans="1:1" ht="18.75" customHeight="1">
      <c r="A8186"/>
    </row>
    <row r="8187" spans="1:1" ht="18.75" customHeight="1">
      <c r="A8187"/>
    </row>
    <row r="8188" spans="1:1" ht="18.75" customHeight="1">
      <c r="A8188"/>
    </row>
    <row r="8189" spans="1:1" ht="18.75" customHeight="1">
      <c r="A8189"/>
    </row>
    <row r="8190" spans="1:1" ht="18.75" customHeight="1">
      <c r="A8190"/>
    </row>
    <row r="8191" spans="1:1" ht="18.75" customHeight="1">
      <c r="A8191"/>
    </row>
    <row r="8192" spans="1:1" ht="18.75" customHeight="1">
      <c r="A8192"/>
    </row>
    <row r="8193" spans="1:1" ht="18.75" customHeight="1">
      <c r="A8193"/>
    </row>
    <row r="8194" spans="1:1" ht="18.75" customHeight="1">
      <c r="A8194"/>
    </row>
    <row r="8195" spans="1:1" ht="18.75" customHeight="1">
      <c r="A8195"/>
    </row>
    <row r="8196" spans="1:1" ht="18.75" customHeight="1">
      <c r="A8196"/>
    </row>
    <row r="8197" spans="1:1" ht="18.75" customHeight="1">
      <c r="A8197"/>
    </row>
    <row r="8198" spans="1:1" ht="18.75" customHeight="1">
      <c r="A8198"/>
    </row>
    <row r="8199" spans="1:1" ht="18.75" customHeight="1">
      <c r="A8199"/>
    </row>
    <row r="8200" spans="1:1" ht="18.75" customHeight="1">
      <c r="A8200"/>
    </row>
    <row r="8201" spans="1:1" ht="18.75" customHeight="1">
      <c r="A8201"/>
    </row>
    <row r="8202" spans="1:1" ht="18.75" customHeight="1">
      <c r="A8202"/>
    </row>
    <row r="8203" spans="1:1" ht="18.75" customHeight="1">
      <c r="A8203"/>
    </row>
    <row r="8204" spans="1:1" ht="18.75" customHeight="1">
      <c r="A8204"/>
    </row>
    <row r="8205" spans="1:1" ht="18.75" customHeight="1">
      <c r="A8205"/>
    </row>
    <row r="8206" spans="1:1" ht="18.75" customHeight="1">
      <c r="A8206"/>
    </row>
    <row r="8207" spans="1:1" ht="18.75" customHeight="1">
      <c r="A8207"/>
    </row>
    <row r="8208" spans="1:1" ht="18.75" customHeight="1">
      <c r="A8208"/>
    </row>
    <row r="8209" spans="1:1" ht="18.75" customHeight="1">
      <c r="A8209"/>
    </row>
    <row r="8210" spans="1:1" ht="18.75" customHeight="1">
      <c r="A8210"/>
    </row>
    <row r="8211" spans="1:1" ht="18.75" customHeight="1">
      <c r="A8211"/>
    </row>
    <row r="8212" spans="1:1" ht="18.75" customHeight="1">
      <c r="A8212"/>
    </row>
    <row r="8213" spans="1:1" ht="18.75" customHeight="1">
      <c r="A8213"/>
    </row>
    <row r="8214" spans="1:1" ht="18.75" customHeight="1">
      <c r="A8214"/>
    </row>
    <row r="8215" spans="1:1" ht="18.75" customHeight="1">
      <c r="A8215"/>
    </row>
    <row r="8216" spans="1:1" ht="18.75" customHeight="1">
      <c r="A8216"/>
    </row>
    <row r="8217" spans="1:1" ht="18.75" customHeight="1">
      <c r="A8217"/>
    </row>
    <row r="8218" spans="1:1" ht="18.75" customHeight="1">
      <c r="A8218"/>
    </row>
    <row r="8219" spans="1:1" ht="18.75" customHeight="1">
      <c r="A8219"/>
    </row>
    <row r="8220" spans="1:1" ht="18.75" customHeight="1">
      <c r="A8220"/>
    </row>
    <row r="8221" spans="1:1" ht="18.75" customHeight="1">
      <c r="A8221"/>
    </row>
    <row r="8222" spans="1:1" ht="18.75" customHeight="1">
      <c r="A8222"/>
    </row>
    <row r="8223" spans="1:1" ht="18.75" customHeight="1">
      <c r="A8223"/>
    </row>
    <row r="8224" spans="1:1" ht="18.75" customHeight="1">
      <c r="A8224"/>
    </row>
    <row r="8225" spans="1:1" ht="18.75" customHeight="1">
      <c r="A8225"/>
    </row>
    <row r="8226" spans="1:1" ht="18.75" customHeight="1">
      <c r="A8226"/>
    </row>
    <row r="8227" spans="1:1" ht="18.75" customHeight="1">
      <c r="A8227"/>
    </row>
    <row r="8228" spans="1:1" ht="18.75" customHeight="1">
      <c r="A8228"/>
    </row>
    <row r="8229" spans="1:1" ht="18.75" customHeight="1">
      <c r="A8229"/>
    </row>
    <row r="8230" spans="1:1" ht="18.75" customHeight="1">
      <c r="A8230"/>
    </row>
    <row r="8231" spans="1:1" ht="18.75" customHeight="1">
      <c r="A8231"/>
    </row>
    <row r="8232" spans="1:1" ht="18.75" customHeight="1">
      <c r="A8232"/>
    </row>
    <row r="8233" spans="1:1" ht="18.75" customHeight="1">
      <c r="A8233"/>
    </row>
    <row r="8234" spans="1:1" ht="18.75" customHeight="1">
      <c r="A8234"/>
    </row>
    <row r="8235" spans="1:1" ht="18.75" customHeight="1">
      <c r="A8235"/>
    </row>
    <row r="8236" spans="1:1" ht="18.75" customHeight="1">
      <c r="A8236"/>
    </row>
    <row r="8237" spans="1:1" ht="18.75" customHeight="1">
      <c r="A8237"/>
    </row>
    <row r="8238" spans="1:1" ht="18.75" customHeight="1">
      <c r="A8238"/>
    </row>
    <row r="8239" spans="1:1" ht="18.75" customHeight="1">
      <c r="A8239"/>
    </row>
    <row r="8240" spans="1:1" ht="18.75" customHeight="1">
      <c r="A8240"/>
    </row>
    <row r="8241" spans="1:1" ht="18.75" customHeight="1">
      <c r="A8241"/>
    </row>
    <row r="8242" spans="1:1" ht="18.75" customHeight="1">
      <c r="A8242"/>
    </row>
    <row r="8243" spans="1:1" ht="18.75" customHeight="1">
      <c r="A8243"/>
    </row>
    <row r="8244" spans="1:1" ht="18.75" customHeight="1">
      <c r="A8244"/>
    </row>
    <row r="8245" spans="1:1" ht="18.75" customHeight="1">
      <c r="A8245"/>
    </row>
    <row r="8246" spans="1:1" ht="18.75" customHeight="1">
      <c r="A8246"/>
    </row>
    <row r="8247" spans="1:1" ht="18.75" customHeight="1">
      <c r="A8247"/>
    </row>
    <row r="8248" spans="1:1" ht="18.75" customHeight="1">
      <c r="A8248"/>
    </row>
    <row r="8249" spans="1:1" ht="18.75" customHeight="1">
      <c r="A8249"/>
    </row>
    <row r="8250" spans="1:1" ht="18.75" customHeight="1">
      <c r="A8250"/>
    </row>
    <row r="8251" spans="1:1" ht="18.75" customHeight="1">
      <c r="A8251"/>
    </row>
    <row r="8252" spans="1:1" ht="18.75" customHeight="1">
      <c r="A8252"/>
    </row>
    <row r="8253" spans="1:1" ht="18.75" customHeight="1">
      <c r="A8253"/>
    </row>
    <row r="8254" spans="1:1" ht="18.75" customHeight="1">
      <c r="A8254"/>
    </row>
    <row r="8255" spans="1:1" ht="18.75" customHeight="1">
      <c r="A8255"/>
    </row>
    <row r="8256" spans="1:1" ht="18.75" customHeight="1">
      <c r="A8256"/>
    </row>
    <row r="8257" spans="1:1" ht="18.75" customHeight="1">
      <c r="A8257"/>
    </row>
    <row r="8258" spans="1:1" ht="18.75" customHeight="1">
      <c r="A8258"/>
    </row>
    <row r="8259" spans="1:1" ht="18.75" customHeight="1">
      <c r="A8259"/>
    </row>
    <row r="8260" spans="1:1" ht="18.75" customHeight="1">
      <c r="A8260"/>
    </row>
    <row r="8261" spans="1:1" ht="18.75" customHeight="1">
      <c r="A8261"/>
    </row>
    <row r="8262" spans="1:1" ht="18.75" customHeight="1">
      <c r="A8262"/>
    </row>
    <row r="8263" spans="1:1" ht="18.75" customHeight="1">
      <c r="A8263"/>
    </row>
    <row r="8264" spans="1:1" ht="18.75" customHeight="1">
      <c r="A8264"/>
    </row>
    <row r="8265" spans="1:1" ht="18.75" customHeight="1">
      <c r="A8265"/>
    </row>
    <row r="8266" spans="1:1" ht="18.75" customHeight="1">
      <c r="A8266"/>
    </row>
    <row r="8267" spans="1:1" ht="18.75" customHeight="1">
      <c r="A8267"/>
    </row>
    <row r="8268" spans="1:1" ht="18.75" customHeight="1">
      <c r="A8268"/>
    </row>
    <row r="8269" spans="1:1" ht="18.75" customHeight="1">
      <c r="A8269"/>
    </row>
    <row r="8270" spans="1:1" ht="18.75" customHeight="1">
      <c r="A8270"/>
    </row>
    <row r="8271" spans="1:1" ht="18.75" customHeight="1">
      <c r="A8271"/>
    </row>
    <row r="8272" spans="1:1" ht="18.75" customHeight="1">
      <c r="A8272"/>
    </row>
    <row r="8273" spans="1:1" ht="18.75" customHeight="1">
      <c r="A8273"/>
    </row>
    <row r="8274" spans="1:1" ht="18.75" customHeight="1">
      <c r="A8274"/>
    </row>
    <row r="8275" spans="1:1" ht="18.75" customHeight="1">
      <c r="A8275"/>
    </row>
    <row r="8276" spans="1:1" ht="18.75" customHeight="1">
      <c r="A8276"/>
    </row>
    <row r="8277" spans="1:1" ht="18.75" customHeight="1">
      <c r="A8277"/>
    </row>
    <row r="8278" spans="1:1" ht="18.75" customHeight="1">
      <c r="A8278"/>
    </row>
    <row r="8279" spans="1:1" ht="18.75" customHeight="1">
      <c r="A8279"/>
    </row>
    <row r="8280" spans="1:1" ht="18.75" customHeight="1">
      <c r="A8280"/>
    </row>
    <row r="8281" spans="1:1" ht="18.75" customHeight="1">
      <c r="A8281"/>
    </row>
    <row r="8282" spans="1:1" ht="18.75" customHeight="1">
      <c r="A8282"/>
    </row>
    <row r="8283" spans="1:1" ht="18.75" customHeight="1">
      <c r="A8283"/>
    </row>
    <row r="8284" spans="1:1" ht="18.75" customHeight="1">
      <c r="A8284"/>
    </row>
    <row r="8285" spans="1:1" ht="18.75" customHeight="1">
      <c r="A8285"/>
    </row>
    <row r="8286" spans="1:1" ht="18.75" customHeight="1">
      <c r="A8286"/>
    </row>
    <row r="8287" spans="1:1" ht="18.75" customHeight="1">
      <c r="A8287"/>
    </row>
    <row r="8288" spans="1:1" ht="18.75" customHeight="1">
      <c r="A8288"/>
    </row>
    <row r="8289" spans="1:1" ht="18.75" customHeight="1">
      <c r="A8289"/>
    </row>
    <row r="8290" spans="1:1" ht="18.75" customHeight="1">
      <c r="A8290"/>
    </row>
    <row r="8291" spans="1:1" ht="18.75" customHeight="1">
      <c r="A8291"/>
    </row>
    <row r="8292" spans="1:1" ht="18.75" customHeight="1">
      <c r="A8292"/>
    </row>
    <row r="8293" spans="1:1" ht="18.75" customHeight="1">
      <c r="A8293"/>
    </row>
    <row r="8294" spans="1:1" ht="18.75" customHeight="1">
      <c r="A8294"/>
    </row>
    <row r="8295" spans="1:1" ht="18.75" customHeight="1">
      <c r="A8295"/>
    </row>
    <row r="8296" spans="1:1" ht="18.75" customHeight="1">
      <c r="A8296"/>
    </row>
    <row r="8297" spans="1:1" ht="18.75" customHeight="1">
      <c r="A8297"/>
    </row>
    <row r="8298" spans="1:1" ht="18.75" customHeight="1">
      <c r="A8298"/>
    </row>
    <row r="8299" spans="1:1" ht="18.75" customHeight="1">
      <c r="A8299"/>
    </row>
    <row r="8300" spans="1:1" ht="18.75" customHeight="1">
      <c r="A8300"/>
    </row>
    <row r="8301" spans="1:1" ht="18.75" customHeight="1">
      <c r="A8301"/>
    </row>
    <row r="8302" spans="1:1" ht="18.75" customHeight="1">
      <c r="A8302"/>
    </row>
    <row r="8303" spans="1:1" ht="18.75" customHeight="1">
      <c r="A8303"/>
    </row>
    <row r="8304" spans="1:1" ht="18.75" customHeight="1">
      <c r="A8304"/>
    </row>
    <row r="8305" spans="1:1" ht="18.75" customHeight="1">
      <c r="A8305"/>
    </row>
    <row r="8306" spans="1:1" ht="18.75" customHeight="1">
      <c r="A8306"/>
    </row>
    <row r="8307" spans="1:1" ht="18.75" customHeight="1">
      <c r="A8307"/>
    </row>
    <row r="8308" spans="1:1" ht="18.75" customHeight="1">
      <c r="A8308"/>
    </row>
    <row r="8309" spans="1:1" ht="18.75" customHeight="1">
      <c r="A8309"/>
    </row>
    <row r="8310" spans="1:1" ht="18.75" customHeight="1">
      <c r="A8310"/>
    </row>
    <row r="8311" spans="1:1" ht="18.75" customHeight="1">
      <c r="A8311"/>
    </row>
    <row r="8312" spans="1:1" ht="18.75" customHeight="1">
      <c r="A8312"/>
    </row>
    <row r="8313" spans="1:1" ht="18.75" customHeight="1">
      <c r="A8313"/>
    </row>
    <row r="8314" spans="1:1" ht="18.75" customHeight="1">
      <c r="A8314"/>
    </row>
    <row r="8315" spans="1:1" ht="18.75" customHeight="1">
      <c r="A8315"/>
    </row>
    <row r="8316" spans="1:1" ht="18.75" customHeight="1">
      <c r="A8316"/>
    </row>
    <row r="8317" spans="1:1" ht="18.75" customHeight="1">
      <c r="A8317"/>
    </row>
    <row r="8318" spans="1:1" ht="18.75" customHeight="1">
      <c r="A8318"/>
    </row>
    <row r="8319" spans="1:1" ht="18.75" customHeight="1">
      <c r="A8319"/>
    </row>
    <row r="8320" spans="1:1" ht="18.75" customHeight="1">
      <c r="A8320"/>
    </row>
    <row r="8321" spans="1:1" ht="18.75" customHeight="1">
      <c r="A8321"/>
    </row>
    <row r="8322" spans="1:1" ht="18.75" customHeight="1">
      <c r="A8322"/>
    </row>
    <row r="8323" spans="1:1" ht="18.75" customHeight="1">
      <c r="A8323"/>
    </row>
    <row r="8324" spans="1:1" ht="18.75" customHeight="1">
      <c r="A8324"/>
    </row>
    <row r="8325" spans="1:1" ht="18.75" customHeight="1">
      <c r="A8325"/>
    </row>
    <row r="8326" spans="1:1" ht="18.75" customHeight="1">
      <c r="A8326"/>
    </row>
    <row r="8327" spans="1:1" ht="18.75" customHeight="1">
      <c r="A8327"/>
    </row>
    <row r="8328" spans="1:1" ht="18.75" customHeight="1">
      <c r="A8328"/>
    </row>
    <row r="8329" spans="1:1" ht="18.75" customHeight="1">
      <c r="A8329"/>
    </row>
    <row r="8330" spans="1:1" ht="18.75" customHeight="1">
      <c r="A8330"/>
    </row>
    <row r="8331" spans="1:1" ht="18.75" customHeight="1">
      <c r="A8331"/>
    </row>
    <row r="8332" spans="1:1" ht="18.75" customHeight="1">
      <c r="A8332"/>
    </row>
    <row r="8333" spans="1:1" ht="18.75" customHeight="1">
      <c r="A8333"/>
    </row>
    <row r="8334" spans="1:1" ht="18.75" customHeight="1">
      <c r="A8334"/>
    </row>
    <row r="8335" spans="1:1" ht="18.75" customHeight="1">
      <c r="A8335"/>
    </row>
    <row r="8336" spans="1:1" ht="18.75" customHeight="1">
      <c r="A8336"/>
    </row>
    <row r="8337" spans="1:1" ht="18.75" customHeight="1">
      <c r="A8337"/>
    </row>
    <row r="8338" spans="1:1" ht="18.75" customHeight="1">
      <c r="A8338"/>
    </row>
    <row r="8339" spans="1:1" ht="18.75" customHeight="1">
      <c r="A8339"/>
    </row>
    <row r="8340" spans="1:1" ht="18.75" customHeight="1">
      <c r="A8340"/>
    </row>
    <row r="8341" spans="1:1" ht="18.75" customHeight="1">
      <c r="A8341"/>
    </row>
    <row r="8342" spans="1:1" ht="18.75" customHeight="1">
      <c r="A8342"/>
    </row>
    <row r="8343" spans="1:1" ht="18.75" customHeight="1">
      <c r="A8343"/>
    </row>
    <row r="8344" spans="1:1" ht="18.75" customHeight="1">
      <c r="A8344"/>
    </row>
    <row r="8345" spans="1:1" ht="18.75" customHeight="1">
      <c r="A8345"/>
    </row>
    <row r="8346" spans="1:1" ht="18.75" customHeight="1">
      <c r="A8346"/>
    </row>
    <row r="8347" spans="1:1" ht="18.75" customHeight="1">
      <c r="A8347"/>
    </row>
    <row r="8348" spans="1:1" ht="18.75" customHeight="1">
      <c r="A8348"/>
    </row>
    <row r="8349" spans="1:1" ht="18.75" customHeight="1">
      <c r="A8349"/>
    </row>
    <row r="8350" spans="1:1" ht="18.75" customHeight="1">
      <c r="A8350"/>
    </row>
    <row r="8351" spans="1:1" ht="18.75" customHeight="1">
      <c r="A8351"/>
    </row>
    <row r="8352" spans="1:1" ht="18.75" customHeight="1">
      <c r="A8352"/>
    </row>
    <row r="8353" spans="1:1" ht="18.75" customHeight="1">
      <c r="A8353"/>
    </row>
    <row r="8354" spans="1:1" ht="18.75" customHeight="1">
      <c r="A8354"/>
    </row>
    <row r="8355" spans="1:1" ht="18.75" customHeight="1">
      <c r="A8355"/>
    </row>
    <row r="8356" spans="1:1" ht="18.75" customHeight="1">
      <c r="A8356"/>
    </row>
    <row r="8357" spans="1:1" ht="18.75" customHeight="1">
      <c r="A8357"/>
    </row>
    <row r="8358" spans="1:1" ht="18.75" customHeight="1">
      <c r="A8358"/>
    </row>
    <row r="8359" spans="1:1" ht="18.75" customHeight="1">
      <c r="A8359"/>
    </row>
    <row r="8360" spans="1:1" ht="18.75" customHeight="1">
      <c r="A8360"/>
    </row>
    <row r="8361" spans="1:1" ht="18.75" customHeight="1">
      <c r="A8361"/>
    </row>
    <row r="8362" spans="1:1" ht="18.75" customHeight="1">
      <c r="A8362"/>
    </row>
    <row r="8363" spans="1:1" ht="18.75" customHeight="1">
      <c r="A8363"/>
    </row>
    <row r="8364" spans="1:1" ht="18.75" customHeight="1">
      <c r="A8364"/>
    </row>
    <row r="8365" spans="1:1" ht="18.75" customHeight="1">
      <c r="A8365"/>
    </row>
    <row r="8366" spans="1:1" ht="18.75" customHeight="1">
      <c r="A8366"/>
    </row>
    <row r="8367" spans="1:1" ht="18.75" customHeight="1">
      <c r="A8367"/>
    </row>
    <row r="8368" spans="1:1" ht="18.75" customHeight="1">
      <c r="A8368"/>
    </row>
    <row r="8369" spans="1:1" ht="18.75" customHeight="1">
      <c r="A8369"/>
    </row>
    <row r="8370" spans="1:1" ht="18.75" customHeight="1">
      <c r="A8370"/>
    </row>
    <row r="8371" spans="1:1" ht="18.75" customHeight="1">
      <c r="A8371"/>
    </row>
    <row r="8372" spans="1:1" ht="18.75" customHeight="1">
      <c r="A8372"/>
    </row>
    <row r="8373" spans="1:1" ht="18.75" customHeight="1">
      <c r="A8373"/>
    </row>
    <row r="8374" spans="1:1" ht="18.75" customHeight="1">
      <c r="A8374"/>
    </row>
    <row r="8375" spans="1:1" ht="18.75" customHeight="1">
      <c r="A8375"/>
    </row>
    <row r="8376" spans="1:1" ht="18.75" customHeight="1">
      <c r="A8376"/>
    </row>
    <row r="8377" spans="1:1" ht="18.75" customHeight="1">
      <c r="A8377"/>
    </row>
    <row r="8378" spans="1:1" ht="18.75" customHeight="1">
      <c r="A8378"/>
    </row>
    <row r="8379" spans="1:1" ht="18.75" customHeight="1">
      <c r="A8379"/>
    </row>
    <row r="8380" spans="1:1" ht="18.75" customHeight="1">
      <c r="A8380"/>
    </row>
    <row r="8381" spans="1:1" ht="18.75" customHeight="1">
      <c r="A8381"/>
    </row>
    <row r="8382" spans="1:1" ht="18.75" customHeight="1">
      <c r="A8382"/>
    </row>
    <row r="8383" spans="1:1" ht="18.75" customHeight="1">
      <c r="A8383"/>
    </row>
    <row r="8384" spans="1:1" ht="18.75" customHeight="1">
      <c r="A8384"/>
    </row>
    <row r="8385" spans="1:1" ht="18.75" customHeight="1">
      <c r="A8385"/>
    </row>
    <row r="8386" spans="1:1" ht="18.75" customHeight="1">
      <c r="A8386"/>
    </row>
    <row r="8387" spans="1:1" ht="18.75" customHeight="1">
      <c r="A8387"/>
    </row>
    <row r="8388" spans="1:1" ht="18.75" customHeight="1">
      <c r="A8388"/>
    </row>
    <row r="8389" spans="1:1" ht="18.75" customHeight="1">
      <c r="A8389"/>
    </row>
    <row r="8390" spans="1:1" ht="18.75" customHeight="1">
      <c r="A8390"/>
    </row>
    <row r="8391" spans="1:1" ht="18.75" customHeight="1">
      <c r="A8391"/>
    </row>
    <row r="8392" spans="1:1" ht="18.75" customHeight="1">
      <c r="A8392"/>
    </row>
    <row r="8393" spans="1:1" ht="18.75" customHeight="1">
      <c r="A8393"/>
    </row>
    <row r="8394" spans="1:1" ht="18.75" customHeight="1">
      <c r="A8394"/>
    </row>
    <row r="8395" spans="1:1" ht="18.75" customHeight="1">
      <c r="A8395"/>
    </row>
    <row r="8396" spans="1:1" ht="18.75" customHeight="1">
      <c r="A8396"/>
    </row>
    <row r="8397" spans="1:1" ht="18.75" customHeight="1">
      <c r="A8397"/>
    </row>
    <row r="8398" spans="1:1" ht="18.75" customHeight="1">
      <c r="A8398"/>
    </row>
    <row r="8399" spans="1:1" ht="18.75" customHeight="1">
      <c r="A8399"/>
    </row>
    <row r="8400" spans="1:1" ht="18.75" customHeight="1">
      <c r="A8400"/>
    </row>
    <row r="8401" spans="1:1" ht="18.75" customHeight="1">
      <c r="A8401"/>
    </row>
    <row r="8402" spans="1:1" ht="18.75" customHeight="1">
      <c r="A8402"/>
    </row>
    <row r="8403" spans="1:1" ht="18.75" customHeight="1">
      <c r="A8403"/>
    </row>
    <row r="8404" spans="1:1" ht="18.75" customHeight="1">
      <c r="A8404"/>
    </row>
    <row r="8405" spans="1:1" ht="18.75" customHeight="1">
      <c r="A8405"/>
    </row>
    <row r="8406" spans="1:1" ht="18.75" customHeight="1">
      <c r="A8406"/>
    </row>
    <row r="8407" spans="1:1" ht="18.75" customHeight="1">
      <c r="A8407"/>
    </row>
    <row r="8408" spans="1:1" ht="18.75" customHeight="1">
      <c r="A8408"/>
    </row>
    <row r="8409" spans="1:1" ht="18.75" customHeight="1">
      <c r="A8409"/>
    </row>
    <row r="8410" spans="1:1" ht="18.75" customHeight="1">
      <c r="A8410"/>
    </row>
    <row r="8411" spans="1:1" ht="18.75" customHeight="1">
      <c r="A8411"/>
    </row>
    <row r="8412" spans="1:1" ht="18.75" customHeight="1">
      <c r="A8412"/>
    </row>
    <row r="8413" spans="1:1" ht="18.75" customHeight="1">
      <c r="A8413"/>
    </row>
    <row r="8414" spans="1:1" ht="18.75" customHeight="1">
      <c r="A8414"/>
    </row>
    <row r="8415" spans="1:1" ht="18.75" customHeight="1">
      <c r="A8415"/>
    </row>
    <row r="8416" spans="1:1" ht="18.75" customHeight="1">
      <c r="A8416"/>
    </row>
    <row r="8417" spans="1:1" ht="18.75" customHeight="1">
      <c r="A8417"/>
    </row>
    <row r="8418" spans="1:1" ht="18.75" customHeight="1">
      <c r="A8418"/>
    </row>
    <row r="8419" spans="1:1" ht="18.75" customHeight="1">
      <c r="A8419"/>
    </row>
    <row r="8420" spans="1:1" ht="18.75" customHeight="1">
      <c r="A8420"/>
    </row>
    <row r="8421" spans="1:1" ht="18.75" customHeight="1">
      <c r="A8421"/>
    </row>
    <row r="8422" spans="1:1" ht="18.75" customHeight="1">
      <c r="A8422"/>
    </row>
    <row r="8423" spans="1:1" ht="18.75" customHeight="1">
      <c r="A8423"/>
    </row>
    <row r="8424" spans="1:1" ht="18.75" customHeight="1">
      <c r="A8424"/>
    </row>
    <row r="8425" spans="1:1" ht="18.75" customHeight="1">
      <c r="A8425"/>
    </row>
    <row r="8426" spans="1:1" ht="18.75" customHeight="1">
      <c r="A8426"/>
    </row>
    <row r="8427" spans="1:1" ht="18.75" customHeight="1">
      <c r="A8427"/>
    </row>
    <row r="8428" spans="1:1" ht="18.75" customHeight="1">
      <c r="A8428"/>
    </row>
    <row r="8429" spans="1:1" ht="18.75" customHeight="1">
      <c r="A8429"/>
    </row>
    <row r="8430" spans="1:1" ht="18.75" customHeight="1">
      <c r="A8430"/>
    </row>
    <row r="8431" spans="1:1" ht="18.75" customHeight="1">
      <c r="A8431"/>
    </row>
    <row r="8432" spans="1:1" ht="18.75" customHeight="1">
      <c r="A8432"/>
    </row>
    <row r="8433" spans="1:1" ht="18.75" customHeight="1">
      <c r="A8433"/>
    </row>
    <row r="8434" spans="1:1" ht="18.75" customHeight="1">
      <c r="A8434"/>
    </row>
    <row r="8435" spans="1:1" ht="18.75" customHeight="1">
      <c r="A8435"/>
    </row>
    <row r="8436" spans="1:1" ht="18.75" customHeight="1">
      <c r="A8436"/>
    </row>
    <row r="8437" spans="1:1" ht="18.75" customHeight="1">
      <c r="A8437"/>
    </row>
    <row r="8438" spans="1:1" ht="18.75" customHeight="1">
      <c r="A8438"/>
    </row>
    <row r="8439" spans="1:1" ht="18.75" customHeight="1">
      <c r="A8439"/>
    </row>
    <row r="8440" spans="1:1" ht="18.75" customHeight="1">
      <c r="A8440"/>
    </row>
    <row r="8441" spans="1:1" ht="18.75" customHeight="1">
      <c r="A8441"/>
    </row>
    <row r="8442" spans="1:1" ht="18.75" customHeight="1">
      <c r="A8442"/>
    </row>
    <row r="8443" spans="1:1" ht="18.75" customHeight="1">
      <c r="A8443"/>
    </row>
    <row r="8444" spans="1:1" ht="18.75" customHeight="1">
      <c r="A8444"/>
    </row>
    <row r="8445" spans="1:1" ht="18.75" customHeight="1">
      <c r="A8445"/>
    </row>
    <row r="8446" spans="1:1" ht="18.75" customHeight="1">
      <c r="A8446"/>
    </row>
    <row r="8447" spans="1:1" ht="18.75" customHeight="1">
      <c r="A8447"/>
    </row>
    <row r="8448" spans="1:1" ht="18.75" customHeight="1">
      <c r="A8448"/>
    </row>
    <row r="8449" spans="1:1" ht="18.75" customHeight="1">
      <c r="A8449"/>
    </row>
    <row r="8450" spans="1:1" ht="18.75" customHeight="1">
      <c r="A8450"/>
    </row>
    <row r="8451" spans="1:1" ht="18.75" customHeight="1">
      <c r="A8451"/>
    </row>
    <row r="8452" spans="1:1" ht="18.75" customHeight="1">
      <c r="A8452"/>
    </row>
    <row r="8453" spans="1:1" ht="18.75" customHeight="1">
      <c r="A8453"/>
    </row>
    <row r="8454" spans="1:1" ht="18.75" customHeight="1">
      <c r="A8454"/>
    </row>
    <row r="8455" spans="1:1" ht="18.75" customHeight="1">
      <c r="A8455"/>
    </row>
    <row r="8456" spans="1:1" ht="18.75" customHeight="1">
      <c r="A8456"/>
    </row>
    <row r="8457" spans="1:1" ht="18.75" customHeight="1">
      <c r="A8457"/>
    </row>
    <row r="8458" spans="1:1" ht="18.75" customHeight="1">
      <c r="A8458"/>
    </row>
    <row r="8459" spans="1:1" ht="18.75" customHeight="1">
      <c r="A8459"/>
    </row>
    <row r="8460" spans="1:1" ht="18.75" customHeight="1">
      <c r="A8460"/>
    </row>
    <row r="8461" spans="1:1" ht="18.75" customHeight="1">
      <c r="A8461"/>
    </row>
    <row r="8462" spans="1:1" ht="18.75" customHeight="1">
      <c r="A8462"/>
    </row>
    <row r="8463" spans="1:1" ht="18.75" customHeight="1">
      <c r="A8463"/>
    </row>
    <row r="8464" spans="1:1" ht="18.75" customHeight="1">
      <c r="A8464"/>
    </row>
    <row r="8465" spans="1:1" ht="18.75" customHeight="1">
      <c r="A8465"/>
    </row>
    <row r="8466" spans="1:1" ht="18.75" customHeight="1">
      <c r="A8466"/>
    </row>
    <row r="8467" spans="1:1" ht="18.75" customHeight="1">
      <c r="A8467"/>
    </row>
    <row r="8468" spans="1:1" ht="18.75" customHeight="1">
      <c r="A8468"/>
    </row>
    <row r="8469" spans="1:1" ht="18.75" customHeight="1">
      <c r="A8469"/>
    </row>
    <row r="8470" spans="1:1" ht="18.75" customHeight="1">
      <c r="A8470"/>
    </row>
    <row r="8471" spans="1:1" ht="18.75" customHeight="1">
      <c r="A8471"/>
    </row>
    <row r="8472" spans="1:1" ht="18.75" customHeight="1">
      <c r="A8472"/>
    </row>
    <row r="8473" spans="1:1" ht="18.75" customHeight="1">
      <c r="A8473"/>
    </row>
    <row r="8474" spans="1:1" ht="18.75" customHeight="1">
      <c r="A8474"/>
    </row>
    <row r="8475" spans="1:1" ht="18.75" customHeight="1">
      <c r="A8475"/>
    </row>
    <row r="8476" spans="1:1" ht="18.75" customHeight="1">
      <c r="A8476"/>
    </row>
    <row r="8477" spans="1:1" ht="18.75" customHeight="1">
      <c r="A8477"/>
    </row>
    <row r="8478" spans="1:1" ht="18.75" customHeight="1">
      <c r="A8478"/>
    </row>
    <row r="8479" spans="1:1" ht="18.75" customHeight="1">
      <c r="A8479"/>
    </row>
    <row r="8480" spans="1:1" ht="18.75" customHeight="1">
      <c r="A8480"/>
    </row>
    <row r="8481" spans="1:1" ht="18.75" customHeight="1">
      <c r="A8481"/>
    </row>
    <row r="8482" spans="1:1" ht="18.75" customHeight="1">
      <c r="A8482"/>
    </row>
    <row r="8483" spans="1:1" ht="18.75" customHeight="1">
      <c r="A8483"/>
    </row>
    <row r="8484" spans="1:1" ht="18.75" customHeight="1">
      <c r="A8484"/>
    </row>
    <row r="8485" spans="1:1" ht="18.75" customHeight="1">
      <c r="A8485"/>
    </row>
    <row r="8486" spans="1:1" ht="18.75" customHeight="1">
      <c r="A8486"/>
    </row>
    <row r="8487" spans="1:1" ht="18.75" customHeight="1">
      <c r="A8487"/>
    </row>
    <row r="8488" spans="1:1" ht="18.75" customHeight="1">
      <c r="A8488"/>
    </row>
    <row r="8489" spans="1:1" ht="18.75" customHeight="1">
      <c r="A8489"/>
    </row>
    <row r="8490" spans="1:1" ht="18.75" customHeight="1">
      <c r="A8490"/>
    </row>
    <row r="8491" spans="1:1" ht="18.75" customHeight="1">
      <c r="A8491"/>
    </row>
    <row r="8492" spans="1:1" ht="18.75" customHeight="1">
      <c r="A8492"/>
    </row>
    <row r="8493" spans="1:1" ht="18.75" customHeight="1">
      <c r="A8493"/>
    </row>
    <row r="8494" spans="1:1" ht="18.75" customHeight="1">
      <c r="A8494"/>
    </row>
    <row r="8495" spans="1:1" ht="18.75" customHeight="1">
      <c r="A8495"/>
    </row>
    <row r="8496" spans="1:1" ht="18.75" customHeight="1">
      <c r="A8496"/>
    </row>
    <row r="8497" spans="1:1" ht="18.75" customHeight="1">
      <c r="A8497"/>
    </row>
    <row r="8498" spans="1:1" ht="18.75" customHeight="1">
      <c r="A8498"/>
    </row>
    <row r="8499" spans="1:1" ht="18.75" customHeight="1">
      <c r="A8499"/>
    </row>
    <row r="8500" spans="1:1" ht="18.75" customHeight="1">
      <c r="A8500"/>
    </row>
    <row r="8501" spans="1:1" ht="18.75" customHeight="1">
      <c r="A8501"/>
    </row>
    <row r="8502" spans="1:1" ht="18.75" customHeight="1">
      <c r="A8502"/>
    </row>
    <row r="8503" spans="1:1" ht="18.75" customHeight="1">
      <c r="A8503"/>
    </row>
    <row r="8504" spans="1:1" ht="18.75" customHeight="1">
      <c r="A8504"/>
    </row>
    <row r="8505" spans="1:1" ht="18.75" customHeight="1">
      <c r="A8505"/>
    </row>
    <row r="8506" spans="1:1" ht="18.75" customHeight="1">
      <c r="A8506"/>
    </row>
    <row r="8507" spans="1:1" ht="18.75" customHeight="1">
      <c r="A8507"/>
    </row>
    <row r="8508" spans="1:1" ht="18.75" customHeight="1">
      <c r="A8508"/>
    </row>
    <row r="8509" spans="1:1" ht="18.75" customHeight="1">
      <c r="A8509"/>
    </row>
    <row r="8510" spans="1:1" ht="18.75" customHeight="1">
      <c r="A8510"/>
    </row>
    <row r="8511" spans="1:1" ht="18.75" customHeight="1">
      <c r="A8511"/>
    </row>
    <row r="8512" spans="1:1" ht="18.75" customHeight="1">
      <c r="A8512"/>
    </row>
    <row r="8513" spans="1:1" ht="18.75" customHeight="1">
      <c r="A8513"/>
    </row>
    <row r="8514" spans="1:1" ht="18.75" customHeight="1">
      <c r="A8514"/>
    </row>
    <row r="8515" spans="1:1" ht="18.75" customHeight="1">
      <c r="A8515"/>
    </row>
    <row r="8516" spans="1:1" ht="18.75" customHeight="1">
      <c r="A8516"/>
    </row>
    <row r="8517" spans="1:1" ht="18.75" customHeight="1">
      <c r="A8517"/>
    </row>
    <row r="8518" spans="1:1" ht="18.75" customHeight="1">
      <c r="A8518"/>
    </row>
    <row r="8519" spans="1:1" ht="18.75" customHeight="1">
      <c r="A8519"/>
    </row>
    <row r="8520" spans="1:1" ht="18.75" customHeight="1">
      <c r="A8520"/>
    </row>
    <row r="8521" spans="1:1" ht="18.75" customHeight="1">
      <c r="A8521"/>
    </row>
    <row r="8522" spans="1:1" ht="18.75" customHeight="1">
      <c r="A8522"/>
    </row>
    <row r="8523" spans="1:1" ht="18.75" customHeight="1">
      <c r="A8523"/>
    </row>
    <row r="8524" spans="1:1" ht="18.75" customHeight="1">
      <c r="A8524"/>
    </row>
    <row r="8525" spans="1:1" ht="18.75" customHeight="1">
      <c r="A8525"/>
    </row>
    <row r="8526" spans="1:1" ht="18.75" customHeight="1">
      <c r="A8526"/>
    </row>
    <row r="8527" spans="1:1" ht="18.75" customHeight="1">
      <c r="A8527"/>
    </row>
    <row r="8528" spans="1:1" ht="18.75" customHeight="1">
      <c r="A8528"/>
    </row>
    <row r="8529" spans="1:1" ht="18.75" customHeight="1">
      <c r="A8529"/>
    </row>
    <row r="8530" spans="1:1" ht="18.75" customHeight="1">
      <c r="A8530"/>
    </row>
    <row r="8531" spans="1:1" ht="18.75" customHeight="1">
      <c r="A8531"/>
    </row>
    <row r="8532" spans="1:1" ht="18.75" customHeight="1">
      <c r="A8532"/>
    </row>
    <row r="8533" spans="1:1" ht="18.75" customHeight="1">
      <c r="A8533"/>
    </row>
    <row r="8534" spans="1:1" ht="18.75" customHeight="1">
      <c r="A8534"/>
    </row>
    <row r="8535" spans="1:1" ht="18.75" customHeight="1">
      <c r="A8535"/>
    </row>
    <row r="8536" spans="1:1" ht="18.75" customHeight="1">
      <c r="A8536"/>
    </row>
    <row r="8537" spans="1:1" ht="18.75" customHeight="1">
      <c r="A8537"/>
    </row>
    <row r="8538" spans="1:1" ht="18.75" customHeight="1">
      <c r="A8538"/>
    </row>
    <row r="8539" spans="1:1" ht="18.75" customHeight="1">
      <c r="A8539"/>
    </row>
    <row r="8540" spans="1:1" ht="18.75" customHeight="1">
      <c r="A8540"/>
    </row>
    <row r="8541" spans="1:1" ht="18.75" customHeight="1">
      <c r="A8541"/>
    </row>
    <row r="8542" spans="1:1" ht="18.75" customHeight="1">
      <c r="A8542"/>
    </row>
    <row r="8543" spans="1:1" ht="18.75" customHeight="1">
      <c r="A8543"/>
    </row>
    <row r="8544" spans="1:1" ht="18.75" customHeight="1">
      <c r="A8544"/>
    </row>
    <row r="8545" spans="1:1" ht="18.75" customHeight="1">
      <c r="A8545"/>
    </row>
    <row r="8546" spans="1:1" ht="18.75" customHeight="1">
      <c r="A8546"/>
    </row>
    <row r="8547" spans="1:1" ht="18.75" customHeight="1">
      <c r="A8547"/>
    </row>
    <row r="8548" spans="1:1" ht="18.75" customHeight="1">
      <c r="A8548"/>
    </row>
    <row r="8549" spans="1:1" ht="18.75" customHeight="1">
      <c r="A8549"/>
    </row>
    <row r="8550" spans="1:1" ht="18.75" customHeight="1">
      <c r="A8550"/>
    </row>
    <row r="8551" spans="1:1" ht="18.75" customHeight="1">
      <c r="A8551"/>
    </row>
    <row r="8552" spans="1:1" ht="18.75" customHeight="1">
      <c r="A8552"/>
    </row>
    <row r="8553" spans="1:1" ht="18.75" customHeight="1">
      <c r="A8553"/>
    </row>
    <row r="8554" spans="1:1" ht="18.75" customHeight="1">
      <c r="A8554"/>
    </row>
    <row r="8555" spans="1:1" ht="18.75" customHeight="1">
      <c r="A8555"/>
    </row>
    <row r="8556" spans="1:1" ht="18.75" customHeight="1">
      <c r="A8556"/>
    </row>
    <row r="8557" spans="1:1" ht="18.75" customHeight="1">
      <c r="A8557"/>
    </row>
    <row r="8558" spans="1:1" ht="18.75" customHeight="1">
      <c r="A8558"/>
    </row>
    <row r="8559" spans="1:1" ht="18.75" customHeight="1">
      <c r="A8559"/>
    </row>
    <row r="8560" spans="1:1" ht="18.75" customHeight="1">
      <c r="A8560"/>
    </row>
    <row r="8561" spans="1:1" ht="18.75" customHeight="1">
      <c r="A8561"/>
    </row>
    <row r="8562" spans="1:1" ht="18.75" customHeight="1">
      <c r="A8562"/>
    </row>
    <row r="8563" spans="1:1" ht="18.75" customHeight="1">
      <c r="A8563"/>
    </row>
    <row r="8564" spans="1:1" ht="18.75" customHeight="1">
      <c r="A8564"/>
    </row>
    <row r="8565" spans="1:1" ht="18.75" customHeight="1">
      <c r="A8565"/>
    </row>
    <row r="8566" spans="1:1" ht="18.75" customHeight="1">
      <c r="A8566"/>
    </row>
    <row r="8567" spans="1:1" ht="18.75" customHeight="1">
      <c r="A8567"/>
    </row>
    <row r="8568" spans="1:1" ht="18.75" customHeight="1">
      <c r="A8568"/>
    </row>
    <row r="8569" spans="1:1" ht="18.75" customHeight="1">
      <c r="A8569"/>
    </row>
    <row r="8570" spans="1:1" ht="18.75" customHeight="1">
      <c r="A8570"/>
    </row>
    <row r="8571" spans="1:1" ht="18.75" customHeight="1">
      <c r="A8571"/>
    </row>
    <row r="8572" spans="1:1" ht="18.75" customHeight="1">
      <c r="A8572"/>
    </row>
    <row r="8573" spans="1:1" ht="18.75" customHeight="1">
      <c r="A8573"/>
    </row>
    <row r="8574" spans="1:1" ht="18.75" customHeight="1">
      <c r="A8574"/>
    </row>
    <row r="8575" spans="1:1" ht="18.75" customHeight="1">
      <c r="A8575"/>
    </row>
    <row r="8576" spans="1:1" ht="18.75" customHeight="1">
      <c r="A8576"/>
    </row>
    <row r="8577" spans="1:1" ht="18.75" customHeight="1">
      <c r="A8577"/>
    </row>
    <row r="8578" spans="1:1" ht="18.75" customHeight="1">
      <c r="A8578"/>
    </row>
    <row r="8579" spans="1:1" ht="18.75" customHeight="1">
      <c r="A8579"/>
    </row>
    <row r="8580" spans="1:1" ht="18.75" customHeight="1">
      <c r="A8580"/>
    </row>
    <row r="8581" spans="1:1" ht="18.75" customHeight="1">
      <c r="A8581"/>
    </row>
    <row r="8582" spans="1:1" ht="18.75" customHeight="1">
      <c r="A8582"/>
    </row>
    <row r="8583" spans="1:1" ht="18.75" customHeight="1">
      <c r="A8583"/>
    </row>
    <row r="8584" spans="1:1" ht="18.75" customHeight="1">
      <c r="A8584"/>
    </row>
    <row r="8585" spans="1:1" ht="18.75" customHeight="1">
      <c r="A8585"/>
    </row>
    <row r="8586" spans="1:1" ht="18.75" customHeight="1">
      <c r="A8586"/>
    </row>
    <row r="8587" spans="1:1" ht="18.75" customHeight="1">
      <c r="A8587"/>
    </row>
    <row r="8588" spans="1:1" ht="18.75" customHeight="1">
      <c r="A8588"/>
    </row>
    <row r="8589" spans="1:1" ht="18.75" customHeight="1">
      <c r="A8589"/>
    </row>
    <row r="8590" spans="1:1" ht="18.75" customHeight="1">
      <c r="A8590"/>
    </row>
    <row r="8591" spans="1:1" ht="18.75" customHeight="1">
      <c r="A8591"/>
    </row>
    <row r="8592" spans="1:1" ht="18.75" customHeight="1">
      <c r="A8592"/>
    </row>
    <row r="8593" spans="1:1" ht="18.75" customHeight="1">
      <c r="A8593"/>
    </row>
    <row r="8594" spans="1:1" ht="18.75" customHeight="1">
      <c r="A8594"/>
    </row>
    <row r="8595" spans="1:1" ht="18.75" customHeight="1">
      <c r="A8595"/>
    </row>
    <row r="8596" spans="1:1" ht="18.75" customHeight="1">
      <c r="A8596"/>
    </row>
    <row r="8597" spans="1:1" ht="18.75" customHeight="1">
      <c r="A8597"/>
    </row>
    <row r="8598" spans="1:1" ht="18.75" customHeight="1">
      <c r="A8598"/>
    </row>
    <row r="8599" spans="1:1" ht="18.75" customHeight="1">
      <c r="A8599"/>
    </row>
    <row r="8600" spans="1:1" ht="18.75" customHeight="1">
      <c r="A8600"/>
    </row>
    <row r="8601" spans="1:1" ht="18.75" customHeight="1">
      <c r="A8601"/>
    </row>
    <row r="8602" spans="1:1" ht="18.75" customHeight="1">
      <c r="A8602"/>
    </row>
    <row r="8603" spans="1:1" ht="18.75" customHeight="1">
      <c r="A8603"/>
    </row>
    <row r="8604" spans="1:1" ht="18.75" customHeight="1">
      <c r="A8604"/>
    </row>
    <row r="8605" spans="1:1" ht="18.75" customHeight="1">
      <c r="A8605"/>
    </row>
    <row r="8606" spans="1:1" ht="18.75" customHeight="1">
      <c r="A8606"/>
    </row>
    <row r="8607" spans="1:1" ht="18.75" customHeight="1">
      <c r="A8607"/>
    </row>
    <row r="8608" spans="1:1" ht="18.75" customHeight="1">
      <c r="A8608"/>
    </row>
    <row r="8609" spans="1:1" ht="18.75" customHeight="1">
      <c r="A8609"/>
    </row>
    <row r="8610" spans="1:1" ht="18.75" customHeight="1">
      <c r="A8610"/>
    </row>
    <row r="8611" spans="1:1" ht="18.75" customHeight="1">
      <c r="A8611"/>
    </row>
    <row r="8612" spans="1:1" ht="18.75" customHeight="1">
      <c r="A8612"/>
    </row>
    <row r="8613" spans="1:1" ht="18.75" customHeight="1">
      <c r="A8613"/>
    </row>
    <row r="8614" spans="1:1" ht="18.75" customHeight="1">
      <c r="A8614"/>
    </row>
    <row r="8615" spans="1:1" ht="18.75" customHeight="1">
      <c r="A8615"/>
    </row>
    <row r="8616" spans="1:1" ht="18.75" customHeight="1">
      <c r="A8616"/>
    </row>
    <row r="8617" spans="1:1" ht="18.75" customHeight="1">
      <c r="A8617"/>
    </row>
    <row r="8618" spans="1:1" ht="18.75" customHeight="1">
      <c r="A8618"/>
    </row>
    <row r="8619" spans="1:1" ht="18.75" customHeight="1">
      <c r="A8619"/>
    </row>
    <row r="8620" spans="1:1" ht="18.75" customHeight="1">
      <c r="A8620"/>
    </row>
    <row r="8621" spans="1:1" ht="18.75" customHeight="1">
      <c r="A8621"/>
    </row>
    <row r="8622" spans="1:1" ht="18.75" customHeight="1">
      <c r="A8622"/>
    </row>
    <row r="8623" spans="1:1" ht="18.75" customHeight="1">
      <c r="A8623"/>
    </row>
    <row r="8624" spans="1:1" ht="18.75" customHeight="1">
      <c r="A8624"/>
    </row>
    <row r="8625" spans="1:1" ht="18.75" customHeight="1">
      <c r="A8625"/>
    </row>
    <row r="8626" spans="1:1" ht="18.75" customHeight="1">
      <c r="A8626"/>
    </row>
    <row r="8627" spans="1:1" ht="18.75" customHeight="1">
      <c r="A8627"/>
    </row>
    <row r="8628" spans="1:1" ht="18.75" customHeight="1">
      <c r="A8628"/>
    </row>
    <row r="8629" spans="1:1" ht="18.75" customHeight="1">
      <c r="A8629"/>
    </row>
    <row r="8630" spans="1:1" ht="18.75" customHeight="1">
      <c r="A8630"/>
    </row>
    <row r="8631" spans="1:1" ht="18.75" customHeight="1">
      <c r="A8631"/>
    </row>
    <row r="8632" spans="1:1" ht="18.75" customHeight="1">
      <c r="A8632"/>
    </row>
    <row r="8633" spans="1:1" ht="18.75" customHeight="1">
      <c r="A8633"/>
    </row>
    <row r="8634" spans="1:1" ht="18.75" customHeight="1">
      <c r="A8634"/>
    </row>
    <row r="8635" spans="1:1" ht="18.75" customHeight="1">
      <c r="A8635"/>
    </row>
    <row r="8636" spans="1:1" ht="18.75" customHeight="1">
      <c r="A8636"/>
    </row>
    <row r="8637" spans="1:1" ht="18.75" customHeight="1">
      <c r="A8637"/>
    </row>
    <row r="8638" spans="1:1" ht="18.75" customHeight="1">
      <c r="A8638"/>
    </row>
    <row r="8639" spans="1:1" ht="18.75" customHeight="1">
      <c r="A8639"/>
    </row>
    <row r="8640" spans="1:1" ht="18.75" customHeight="1">
      <c r="A8640"/>
    </row>
    <row r="8641" spans="1:1" ht="18.75" customHeight="1">
      <c r="A8641"/>
    </row>
    <row r="8642" spans="1:1" ht="18.75" customHeight="1">
      <c r="A8642"/>
    </row>
    <row r="8643" spans="1:1" ht="18.75" customHeight="1">
      <c r="A8643"/>
    </row>
    <row r="8644" spans="1:1" ht="18.75" customHeight="1">
      <c r="A8644"/>
    </row>
    <row r="8645" spans="1:1" ht="18.75" customHeight="1">
      <c r="A8645"/>
    </row>
    <row r="8646" spans="1:1" ht="18.75" customHeight="1">
      <c r="A8646"/>
    </row>
    <row r="8647" spans="1:1" ht="18.75" customHeight="1">
      <c r="A8647"/>
    </row>
    <row r="8648" spans="1:1" ht="18.75" customHeight="1">
      <c r="A8648"/>
    </row>
    <row r="8649" spans="1:1" ht="18.75" customHeight="1">
      <c r="A8649"/>
    </row>
    <row r="8650" spans="1:1" ht="18.75" customHeight="1">
      <c r="A8650"/>
    </row>
    <row r="8651" spans="1:1" ht="18.75" customHeight="1">
      <c r="A8651"/>
    </row>
    <row r="8652" spans="1:1" ht="18.75" customHeight="1">
      <c r="A8652"/>
    </row>
    <row r="8653" spans="1:1" ht="18.75" customHeight="1">
      <c r="A8653"/>
    </row>
    <row r="8654" spans="1:1" ht="18.75" customHeight="1">
      <c r="A8654"/>
    </row>
    <row r="8655" spans="1:1" ht="18.75" customHeight="1">
      <c r="A8655"/>
    </row>
    <row r="8656" spans="1:1" ht="18.75" customHeight="1">
      <c r="A8656"/>
    </row>
    <row r="8657" spans="1:1" ht="18.75" customHeight="1">
      <c r="A8657"/>
    </row>
    <row r="8658" spans="1:1" ht="18.75" customHeight="1">
      <c r="A8658"/>
    </row>
    <row r="8659" spans="1:1" ht="18.75" customHeight="1">
      <c r="A8659"/>
    </row>
    <row r="8660" spans="1:1" ht="18.75" customHeight="1">
      <c r="A8660"/>
    </row>
    <row r="8661" spans="1:1" ht="18.75" customHeight="1">
      <c r="A8661"/>
    </row>
    <row r="8662" spans="1:1" ht="18.75" customHeight="1">
      <c r="A8662"/>
    </row>
    <row r="8663" spans="1:1" ht="18.75" customHeight="1">
      <c r="A8663"/>
    </row>
    <row r="8664" spans="1:1" ht="18.75" customHeight="1">
      <c r="A8664"/>
    </row>
    <row r="8665" spans="1:1" ht="18.75" customHeight="1">
      <c r="A8665"/>
    </row>
    <row r="8666" spans="1:1" ht="18.75" customHeight="1">
      <c r="A8666"/>
    </row>
    <row r="8667" spans="1:1" ht="18.75" customHeight="1">
      <c r="A8667"/>
    </row>
    <row r="8668" spans="1:1" ht="18.75" customHeight="1">
      <c r="A8668"/>
    </row>
    <row r="8669" spans="1:1" ht="18.75" customHeight="1">
      <c r="A8669"/>
    </row>
    <row r="8670" spans="1:1" ht="18.75" customHeight="1">
      <c r="A8670"/>
    </row>
    <row r="8671" spans="1:1" ht="18.75" customHeight="1">
      <c r="A8671"/>
    </row>
    <row r="8672" spans="1:1" ht="18.75" customHeight="1">
      <c r="A8672"/>
    </row>
    <row r="8673" spans="1:1" ht="18.75" customHeight="1">
      <c r="A8673"/>
    </row>
    <row r="8674" spans="1:1" ht="18.75" customHeight="1">
      <c r="A8674"/>
    </row>
    <row r="8675" spans="1:1" ht="18.75" customHeight="1">
      <c r="A8675"/>
    </row>
    <row r="8676" spans="1:1" ht="18.75" customHeight="1">
      <c r="A8676"/>
    </row>
    <row r="8677" spans="1:1" ht="18.75" customHeight="1">
      <c r="A8677"/>
    </row>
    <row r="8678" spans="1:1" ht="18.75" customHeight="1">
      <c r="A8678"/>
    </row>
    <row r="8679" spans="1:1" ht="18.75" customHeight="1">
      <c r="A8679"/>
    </row>
    <row r="8680" spans="1:1" ht="18.75" customHeight="1">
      <c r="A8680"/>
    </row>
    <row r="8681" spans="1:1" ht="18.75" customHeight="1">
      <c r="A8681"/>
    </row>
    <row r="8682" spans="1:1" ht="18.75" customHeight="1">
      <c r="A8682"/>
    </row>
    <row r="8683" spans="1:1" ht="18.75" customHeight="1">
      <c r="A8683"/>
    </row>
    <row r="8684" spans="1:1" ht="18.75" customHeight="1">
      <c r="A8684"/>
    </row>
    <row r="8685" spans="1:1" ht="18.75" customHeight="1">
      <c r="A8685"/>
    </row>
    <row r="8686" spans="1:1" ht="18.75" customHeight="1">
      <c r="A8686"/>
    </row>
    <row r="8687" spans="1:1" ht="18.75" customHeight="1">
      <c r="A8687"/>
    </row>
    <row r="8688" spans="1:1" ht="18.75" customHeight="1">
      <c r="A8688"/>
    </row>
    <row r="8689" spans="1:1" ht="18.75" customHeight="1">
      <c r="A8689"/>
    </row>
    <row r="8690" spans="1:1" ht="18.75" customHeight="1">
      <c r="A8690"/>
    </row>
    <row r="8691" spans="1:1" ht="18.75" customHeight="1">
      <c r="A8691"/>
    </row>
    <row r="8692" spans="1:1" ht="18.75" customHeight="1">
      <c r="A8692"/>
    </row>
    <row r="8693" spans="1:1" ht="18.75" customHeight="1">
      <c r="A8693"/>
    </row>
    <row r="8694" spans="1:1" ht="18.75" customHeight="1">
      <c r="A8694"/>
    </row>
    <row r="8695" spans="1:1" ht="18.75" customHeight="1">
      <c r="A8695"/>
    </row>
    <row r="8696" spans="1:1" ht="18.75" customHeight="1">
      <c r="A8696"/>
    </row>
    <row r="8697" spans="1:1" ht="18.75" customHeight="1">
      <c r="A8697"/>
    </row>
    <row r="8698" spans="1:1" ht="18.75" customHeight="1">
      <c r="A8698"/>
    </row>
    <row r="8699" spans="1:1" ht="18.75" customHeight="1">
      <c r="A8699"/>
    </row>
    <row r="8700" spans="1:1" ht="18.75" customHeight="1">
      <c r="A8700"/>
    </row>
    <row r="8701" spans="1:1" ht="18.75" customHeight="1">
      <c r="A8701"/>
    </row>
    <row r="8702" spans="1:1" ht="18.75" customHeight="1">
      <c r="A8702"/>
    </row>
    <row r="8703" spans="1:1" ht="18.75" customHeight="1">
      <c r="A8703"/>
    </row>
    <row r="8704" spans="1:1" ht="18.75" customHeight="1">
      <c r="A8704"/>
    </row>
    <row r="8705" spans="1:1" ht="18.75" customHeight="1">
      <c r="A8705"/>
    </row>
    <row r="8706" spans="1:1" ht="18.75" customHeight="1">
      <c r="A8706"/>
    </row>
    <row r="8707" spans="1:1" ht="18.75" customHeight="1">
      <c r="A8707"/>
    </row>
    <row r="8708" spans="1:1" ht="18.75" customHeight="1">
      <c r="A8708"/>
    </row>
    <row r="8709" spans="1:1" ht="18.75" customHeight="1">
      <c r="A8709"/>
    </row>
    <row r="8710" spans="1:1" ht="18.75" customHeight="1">
      <c r="A8710"/>
    </row>
    <row r="8711" spans="1:1" ht="18.75" customHeight="1">
      <c r="A8711"/>
    </row>
    <row r="8712" spans="1:1" ht="18.75" customHeight="1">
      <c r="A8712"/>
    </row>
    <row r="8713" spans="1:1" ht="18.75" customHeight="1">
      <c r="A8713"/>
    </row>
    <row r="8714" spans="1:1" ht="18.75" customHeight="1">
      <c r="A8714"/>
    </row>
    <row r="8715" spans="1:1" ht="18.75" customHeight="1">
      <c r="A8715"/>
    </row>
    <row r="8716" spans="1:1" ht="18.75" customHeight="1">
      <c r="A8716"/>
    </row>
    <row r="8717" spans="1:1" ht="18.75" customHeight="1">
      <c r="A8717"/>
    </row>
    <row r="8718" spans="1:1" ht="18.75" customHeight="1">
      <c r="A8718"/>
    </row>
    <row r="8719" spans="1:1" ht="18.75" customHeight="1">
      <c r="A8719"/>
    </row>
    <row r="8720" spans="1:1" ht="18.75" customHeight="1">
      <c r="A8720"/>
    </row>
    <row r="8721" spans="1:1" ht="18.75" customHeight="1">
      <c r="A8721"/>
    </row>
    <row r="8722" spans="1:1" ht="18.75" customHeight="1">
      <c r="A8722"/>
    </row>
    <row r="8723" spans="1:1" ht="18.75" customHeight="1">
      <c r="A8723"/>
    </row>
    <row r="8724" spans="1:1" ht="18.75" customHeight="1">
      <c r="A8724"/>
    </row>
    <row r="8725" spans="1:1" ht="18.75" customHeight="1">
      <c r="A8725"/>
    </row>
    <row r="8726" spans="1:1" ht="18.75" customHeight="1">
      <c r="A8726"/>
    </row>
    <row r="8727" spans="1:1" ht="18.75" customHeight="1">
      <c r="A8727"/>
    </row>
    <row r="8728" spans="1:1" ht="18.75" customHeight="1">
      <c r="A8728"/>
    </row>
    <row r="8729" spans="1:1" ht="18.75" customHeight="1">
      <c r="A8729"/>
    </row>
    <row r="8730" spans="1:1" ht="18.75" customHeight="1">
      <c r="A8730"/>
    </row>
    <row r="8731" spans="1:1" ht="18.75" customHeight="1">
      <c r="A8731"/>
    </row>
    <row r="8732" spans="1:1" ht="18.75" customHeight="1">
      <c r="A8732"/>
    </row>
    <row r="8733" spans="1:1" ht="18.75" customHeight="1">
      <c r="A8733"/>
    </row>
    <row r="8734" spans="1:1" ht="18.75" customHeight="1">
      <c r="A8734"/>
    </row>
    <row r="8735" spans="1:1" ht="18.75" customHeight="1">
      <c r="A8735"/>
    </row>
    <row r="8736" spans="1:1" ht="18.75" customHeight="1">
      <c r="A8736"/>
    </row>
    <row r="8737" spans="1:1" ht="18.75" customHeight="1">
      <c r="A8737"/>
    </row>
    <row r="8738" spans="1:1" ht="18.75" customHeight="1">
      <c r="A8738"/>
    </row>
    <row r="8739" spans="1:1" ht="18.75" customHeight="1">
      <c r="A8739"/>
    </row>
    <row r="8740" spans="1:1" ht="18.75" customHeight="1">
      <c r="A8740"/>
    </row>
    <row r="8741" spans="1:1" ht="18.75" customHeight="1">
      <c r="A8741"/>
    </row>
    <row r="8742" spans="1:1" ht="18.75" customHeight="1">
      <c r="A8742"/>
    </row>
    <row r="8743" spans="1:1" ht="18.75" customHeight="1">
      <c r="A8743"/>
    </row>
    <row r="8744" spans="1:1" ht="18.75" customHeight="1">
      <c r="A8744"/>
    </row>
    <row r="8745" spans="1:1" ht="18.75" customHeight="1">
      <c r="A8745"/>
    </row>
    <row r="8746" spans="1:1" ht="18.75" customHeight="1">
      <c r="A8746"/>
    </row>
    <row r="8747" spans="1:1" ht="18.75" customHeight="1">
      <c r="A8747"/>
    </row>
    <row r="8748" spans="1:1" ht="18.75" customHeight="1">
      <c r="A8748"/>
    </row>
    <row r="8749" spans="1:1" ht="18.75" customHeight="1">
      <c r="A8749"/>
    </row>
    <row r="8750" spans="1:1" ht="18.75" customHeight="1">
      <c r="A8750"/>
    </row>
    <row r="8751" spans="1:1" ht="18.75" customHeight="1">
      <c r="A8751"/>
    </row>
    <row r="8752" spans="1:1" ht="18.75" customHeight="1">
      <c r="A8752"/>
    </row>
    <row r="8753" spans="1:1" ht="18.75" customHeight="1">
      <c r="A8753"/>
    </row>
    <row r="8754" spans="1:1" ht="18.75" customHeight="1">
      <c r="A8754"/>
    </row>
    <row r="8755" spans="1:1" ht="18.75" customHeight="1">
      <c r="A8755"/>
    </row>
    <row r="8756" spans="1:1" ht="18.75" customHeight="1">
      <c r="A8756"/>
    </row>
    <row r="8757" spans="1:1" ht="18.75" customHeight="1">
      <c r="A8757"/>
    </row>
    <row r="8758" spans="1:1" ht="18.75" customHeight="1">
      <c r="A8758"/>
    </row>
    <row r="8759" spans="1:1" ht="18.75" customHeight="1">
      <c r="A8759"/>
    </row>
    <row r="8760" spans="1:1" ht="18.75" customHeight="1">
      <c r="A8760"/>
    </row>
    <row r="8761" spans="1:1" ht="18.75" customHeight="1">
      <c r="A8761"/>
    </row>
    <row r="8762" spans="1:1" ht="18.75" customHeight="1">
      <c r="A8762"/>
    </row>
    <row r="8763" spans="1:1" ht="18.75" customHeight="1">
      <c r="A8763"/>
    </row>
    <row r="8764" spans="1:1" ht="18.75" customHeight="1">
      <c r="A8764"/>
    </row>
    <row r="8765" spans="1:1" ht="18.75" customHeight="1">
      <c r="A8765"/>
    </row>
    <row r="8766" spans="1:1" ht="18.75" customHeight="1">
      <c r="A8766"/>
    </row>
    <row r="8767" spans="1:1" ht="18.75" customHeight="1">
      <c r="A8767"/>
    </row>
    <row r="8768" spans="1:1" ht="18.75" customHeight="1">
      <c r="A8768"/>
    </row>
    <row r="8769" spans="1:1" ht="18.75" customHeight="1">
      <c r="A8769"/>
    </row>
    <row r="8770" spans="1:1" ht="18.75" customHeight="1">
      <c r="A8770"/>
    </row>
    <row r="8771" spans="1:1" ht="18.75" customHeight="1">
      <c r="A8771"/>
    </row>
    <row r="8772" spans="1:1" ht="18.75" customHeight="1">
      <c r="A8772"/>
    </row>
    <row r="8773" spans="1:1" ht="18.75" customHeight="1">
      <c r="A8773"/>
    </row>
    <row r="8774" spans="1:1" ht="18.75" customHeight="1">
      <c r="A8774"/>
    </row>
    <row r="8775" spans="1:1" ht="18.75" customHeight="1">
      <c r="A8775"/>
    </row>
    <row r="8776" spans="1:1" ht="18.75" customHeight="1">
      <c r="A8776"/>
    </row>
    <row r="8777" spans="1:1" ht="18.75" customHeight="1">
      <c r="A8777"/>
    </row>
    <row r="8778" spans="1:1" ht="18.75" customHeight="1">
      <c r="A8778"/>
    </row>
    <row r="8779" spans="1:1" ht="18.75" customHeight="1">
      <c r="A8779"/>
    </row>
    <row r="8780" spans="1:1" ht="18.75" customHeight="1">
      <c r="A8780"/>
    </row>
    <row r="8781" spans="1:1" ht="18.75" customHeight="1">
      <c r="A8781"/>
    </row>
    <row r="8782" spans="1:1" ht="18.75" customHeight="1">
      <c r="A8782"/>
    </row>
    <row r="8783" spans="1:1" ht="18.75" customHeight="1">
      <c r="A8783"/>
    </row>
    <row r="8784" spans="1:1" ht="18.75" customHeight="1">
      <c r="A8784"/>
    </row>
    <row r="8785" spans="1:1" ht="18.75" customHeight="1">
      <c r="A8785"/>
    </row>
    <row r="8786" spans="1:1" ht="18.75" customHeight="1">
      <c r="A8786"/>
    </row>
    <row r="8787" spans="1:1" ht="18.75" customHeight="1">
      <c r="A8787"/>
    </row>
    <row r="8788" spans="1:1" ht="18.75" customHeight="1">
      <c r="A8788"/>
    </row>
    <row r="8789" spans="1:1" ht="18.75" customHeight="1">
      <c r="A8789"/>
    </row>
    <row r="8790" spans="1:1" ht="18.75" customHeight="1">
      <c r="A8790"/>
    </row>
    <row r="8791" spans="1:1" ht="18.75" customHeight="1">
      <c r="A8791"/>
    </row>
    <row r="8792" spans="1:1" ht="18.75" customHeight="1">
      <c r="A8792"/>
    </row>
    <row r="8793" spans="1:1" ht="18.75" customHeight="1">
      <c r="A8793"/>
    </row>
    <row r="8794" spans="1:1" ht="18.75" customHeight="1">
      <c r="A8794"/>
    </row>
    <row r="8795" spans="1:1" ht="18.75" customHeight="1">
      <c r="A8795"/>
    </row>
    <row r="8796" spans="1:1" ht="18.75" customHeight="1">
      <c r="A8796"/>
    </row>
    <row r="8797" spans="1:1" ht="18.75" customHeight="1">
      <c r="A8797"/>
    </row>
    <row r="8798" spans="1:1" ht="18.75" customHeight="1">
      <c r="A8798"/>
    </row>
    <row r="8799" spans="1:1" ht="18.75" customHeight="1">
      <c r="A8799"/>
    </row>
    <row r="8800" spans="1:1" ht="18.75" customHeight="1">
      <c r="A8800"/>
    </row>
    <row r="8801" spans="1:1" ht="18.75" customHeight="1">
      <c r="A8801"/>
    </row>
    <row r="8802" spans="1:1" ht="18.75" customHeight="1">
      <c r="A8802"/>
    </row>
    <row r="8803" spans="1:1" ht="18.75" customHeight="1">
      <c r="A8803"/>
    </row>
    <row r="8804" spans="1:1" ht="18.75" customHeight="1">
      <c r="A8804"/>
    </row>
    <row r="8805" spans="1:1" ht="18.75" customHeight="1">
      <c r="A8805"/>
    </row>
    <row r="8806" spans="1:1" ht="18.75" customHeight="1">
      <c r="A8806"/>
    </row>
    <row r="8807" spans="1:1" ht="18.75" customHeight="1">
      <c r="A8807"/>
    </row>
    <row r="8808" spans="1:1" ht="18.75" customHeight="1">
      <c r="A8808"/>
    </row>
    <row r="8809" spans="1:1" ht="18.75" customHeight="1">
      <c r="A8809"/>
    </row>
    <row r="8810" spans="1:1" ht="18.75" customHeight="1">
      <c r="A8810"/>
    </row>
    <row r="8811" spans="1:1" ht="18.75" customHeight="1">
      <c r="A8811"/>
    </row>
    <row r="8812" spans="1:1" ht="18.75" customHeight="1">
      <c r="A8812"/>
    </row>
    <row r="8813" spans="1:1" ht="18.75" customHeight="1">
      <c r="A8813"/>
    </row>
    <row r="8814" spans="1:1" ht="18.75" customHeight="1">
      <c r="A8814"/>
    </row>
    <row r="8815" spans="1:1" ht="18.75" customHeight="1">
      <c r="A8815"/>
    </row>
    <row r="8816" spans="1:1" ht="18.75" customHeight="1">
      <c r="A8816"/>
    </row>
    <row r="8817" spans="1:1" ht="18.75" customHeight="1">
      <c r="A8817"/>
    </row>
    <row r="8818" spans="1:1" ht="18.75" customHeight="1">
      <c r="A8818"/>
    </row>
    <row r="8819" spans="1:1" ht="18.75" customHeight="1">
      <c r="A8819"/>
    </row>
    <row r="8820" spans="1:1" ht="18.75" customHeight="1">
      <c r="A8820"/>
    </row>
    <row r="8821" spans="1:1" ht="18.75" customHeight="1">
      <c r="A8821"/>
    </row>
    <row r="8822" spans="1:1" ht="18.75" customHeight="1">
      <c r="A8822"/>
    </row>
    <row r="8823" spans="1:1" ht="18.75" customHeight="1">
      <c r="A8823"/>
    </row>
    <row r="8824" spans="1:1" ht="18.75" customHeight="1">
      <c r="A8824"/>
    </row>
    <row r="8825" spans="1:1" ht="18.75" customHeight="1">
      <c r="A8825"/>
    </row>
    <row r="8826" spans="1:1" ht="18.75" customHeight="1">
      <c r="A8826"/>
    </row>
    <row r="8827" spans="1:1" ht="18.75" customHeight="1">
      <c r="A8827"/>
    </row>
    <row r="8828" spans="1:1" ht="18.75" customHeight="1">
      <c r="A8828"/>
    </row>
    <row r="8829" spans="1:1" ht="18.75" customHeight="1">
      <c r="A8829"/>
    </row>
    <row r="8830" spans="1:1" ht="18.75" customHeight="1">
      <c r="A8830"/>
    </row>
    <row r="8831" spans="1:1" ht="18.75" customHeight="1">
      <c r="A8831"/>
    </row>
    <row r="8832" spans="1:1" ht="18.75" customHeight="1">
      <c r="A8832"/>
    </row>
    <row r="8833" spans="1:1" ht="18.75" customHeight="1">
      <c r="A8833"/>
    </row>
    <row r="8834" spans="1:1" ht="18.75" customHeight="1">
      <c r="A8834"/>
    </row>
    <row r="8835" spans="1:1" ht="18.75" customHeight="1">
      <c r="A8835"/>
    </row>
    <row r="8836" spans="1:1" ht="18.75" customHeight="1">
      <c r="A8836"/>
    </row>
    <row r="8837" spans="1:1" ht="18.75" customHeight="1">
      <c r="A8837"/>
    </row>
    <row r="8838" spans="1:1" ht="18.75" customHeight="1">
      <c r="A8838"/>
    </row>
    <row r="8839" spans="1:1" ht="18.75" customHeight="1">
      <c r="A8839"/>
    </row>
    <row r="8840" spans="1:1" ht="18.75" customHeight="1">
      <c r="A8840"/>
    </row>
    <row r="8841" spans="1:1" ht="18.75" customHeight="1">
      <c r="A8841"/>
    </row>
    <row r="8842" spans="1:1" ht="18.75" customHeight="1">
      <c r="A8842"/>
    </row>
    <row r="8843" spans="1:1" ht="18.75" customHeight="1">
      <c r="A8843"/>
    </row>
    <row r="8844" spans="1:1" ht="18.75" customHeight="1">
      <c r="A8844"/>
    </row>
    <row r="8845" spans="1:1" ht="18.75" customHeight="1">
      <c r="A8845"/>
    </row>
    <row r="8846" spans="1:1" ht="18.75" customHeight="1">
      <c r="A8846"/>
    </row>
    <row r="8847" spans="1:1" ht="18.75" customHeight="1">
      <c r="A8847"/>
    </row>
    <row r="8848" spans="1:1" ht="18.75" customHeight="1">
      <c r="A8848"/>
    </row>
    <row r="8849" spans="1:1" ht="18.75" customHeight="1">
      <c r="A8849"/>
    </row>
    <row r="8850" spans="1:1" ht="18.75" customHeight="1">
      <c r="A8850"/>
    </row>
    <row r="8851" spans="1:1" ht="18.75" customHeight="1">
      <c r="A8851"/>
    </row>
    <row r="8852" spans="1:1" ht="18.75" customHeight="1">
      <c r="A8852"/>
    </row>
    <row r="8853" spans="1:1" ht="18.75" customHeight="1">
      <c r="A8853"/>
    </row>
    <row r="8854" spans="1:1" ht="18.75" customHeight="1">
      <c r="A8854"/>
    </row>
    <row r="8855" spans="1:1" ht="18.75" customHeight="1">
      <c r="A8855"/>
    </row>
    <row r="8856" spans="1:1" ht="18.75" customHeight="1">
      <c r="A8856"/>
    </row>
    <row r="8857" spans="1:1" ht="18.75" customHeight="1">
      <c r="A8857"/>
    </row>
    <row r="8858" spans="1:1" ht="18.75" customHeight="1">
      <c r="A8858"/>
    </row>
    <row r="8859" spans="1:1" ht="18.75" customHeight="1">
      <c r="A8859"/>
    </row>
    <row r="8860" spans="1:1" ht="18.75" customHeight="1">
      <c r="A8860"/>
    </row>
    <row r="8861" spans="1:1" ht="18.75" customHeight="1">
      <c r="A8861"/>
    </row>
    <row r="8862" spans="1:1" ht="18.75" customHeight="1">
      <c r="A8862"/>
    </row>
    <row r="8863" spans="1:1" ht="18.75" customHeight="1">
      <c r="A8863"/>
    </row>
    <row r="8864" spans="1:1" ht="18.75" customHeight="1">
      <c r="A8864"/>
    </row>
    <row r="8865" spans="1:1" ht="18.75" customHeight="1">
      <c r="A8865"/>
    </row>
    <row r="8866" spans="1:1" ht="18.75" customHeight="1">
      <c r="A8866"/>
    </row>
    <row r="8867" spans="1:1" ht="18.75" customHeight="1">
      <c r="A8867"/>
    </row>
    <row r="8868" spans="1:1" ht="18.75" customHeight="1">
      <c r="A8868"/>
    </row>
    <row r="8869" spans="1:1" ht="18.75" customHeight="1">
      <c r="A8869"/>
    </row>
    <row r="8870" spans="1:1" ht="18.75" customHeight="1">
      <c r="A8870"/>
    </row>
    <row r="8871" spans="1:1" ht="18.75" customHeight="1">
      <c r="A8871"/>
    </row>
    <row r="8872" spans="1:1" ht="18.75" customHeight="1">
      <c r="A8872"/>
    </row>
    <row r="8873" spans="1:1" ht="18.75" customHeight="1">
      <c r="A8873"/>
    </row>
    <row r="8874" spans="1:1" ht="18.75" customHeight="1">
      <c r="A8874"/>
    </row>
    <row r="8875" spans="1:1" ht="18.75" customHeight="1">
      <c r="A8875"/>
    </row>
    <row r="8876" spans="1:1" ht="18.75" customHeight="1">
      <c r="A8876"/>
    </row>
    <row r="8877" spans="1:1" ht="18.75" customHeight="1">
      <c r="A8877"/>
    </row>
    <row r="8878" spans="1:1" ht="18.75" customHeight="1">
      <c r="A8878"/>
    </row>
    <row r="8879" spans="1:1" ht="18.75" customHeight="1">
      <c r="A8879"/>
    </row>
    <row r="8880" spans="1:1" ht="18.75" customHeight="1">
      <c r="A8880"/>
    </row>
    <row r="8881" spans="1:1" ht="18.75" customHeight="1">
      <c r="A8881"/>
    </row>
    <row r="8882" spans="1:1" ht="18.75" customHeight="1">
      <c r="A8882"/>
    </row>
    <row r="8883" spans="1:1" ht="18.75" customHeight="1">
      <c r="A8883"/>
    </row>
    <row r="8884" spans="1:1" ht="18.75" customHeight="1">
      <c r="A8884"/>
    </row>
    <row r="8885" spans="1:1" ht="18.75" customHeight="1">
      <c r="A8885"/>
    </row>
    <row r="8886" spans="1:1" ht="18.75" customHeight="1">
      <c r="A8886"/>
    </row>
    <row r="8887" spans="1:1" ht="18.75" customHeight="1">
      <c r="A8887"/>
    </row>
    <row r="8888" spans="1:1" ht="18.75" customHeight="1">
      <c r="A8888"/>
    </row>
    <row r="8889" spans="1:1" ht="18.75" customHeight="1">
      <c r="A8889"/>
    </row>
    <row r="8890" spans="1:1" ht="18.75" customHeight="1">
      <c r="A8890"/>
    </row>
    <row r="8891" spans="1:1" ht="18.75" customHeight="1">
      <c r="A8891"/>
    </row>
    <row r="8892" spans="1:1" ht="18.75" customHeight="1">
      <c r="A8892"/>
    </row>
    <row r="8893" spans="1:1" ht="18.75" customHeight="1">
      <c r="A8893"/>
    </row>
    <row r="8894" spans="1:1" ht="18.75" customHeight="1">
      <c r="A8894"/>
    </row>
    <row r="8895" spans="1:1" ht="18.75" customHeight="1">
      <c r="A8895"/>
    </row>
    <row r="8896" spans="1:1" ht="18.75" customHeight="1">
      <c r="A8896"/>
    </row>
    <row r="8897" spans="1:1" ht="18.75" customHeight="1">
      <c r="A8897"/>
    </row>
    <row r="8898" spans="1:1" ht="18.75" customHeight="1">
      <c r="A8898"/>
    </row>
    <row r="8899" spans="1:1" ht="18.75" customHeight="1">
      <c r="A8899"/>
    </row>
    <row r="8900" spans="1:1" ht="18.75" customHeight="1">
      <c r="A8900"/>
    </row>
    <row r="8901" spans="1:1" ht="18.75" customHeight="1">
      <c r="A8901"/>
    </row>
    <row r="8902" spans="1:1" ht="18.75" customHeight="1">
      <c r="A8902"/>
    </row>
    <row r="8903" spans="1:1" ht="18.75" customHeight="1">
      <c r="A8903"/>
    </row>
    <row r="8904" spans="1:1" ht="18.75" customHeight="1">
      <c r="A8904"/>
    </row>
    <row r="8905" spans="1:1" ht="18.75" customHeight="1">
      <c r="A8905"/>
    </row>
    <row r="8906" spans="1:1" ht="18.75" customHeight="1">
      <c r="A8906"/>
    </row>
    <row r="8907" spans="1:1" ht="18.75" customHeight="1">
      <c r="A8907"/>
    </row>
    <row r="8908" spans="1:1" ht="18.75" customHeight="1">
      <c r="A8908"/>
    </row>
    <row r="8909" spans="1:1" ht="18.75" customHeight="1">
      <c r="A8909"/>
    </row>
    <row r="8910" spans="1:1" ht="18.75" customHeight="1">
      <c r="A8910"/>
    </row>
    <row r="8911" spans="1:1" ht="18.75" customHeight="1">
      <c r="A8911"/>
    </row>
    <row r="8912" spans="1:1" ht="18.75" customHeight="1">
      <c r="A8912"/>
    </row>
    <row r="8913" spans="1:1" ht="18.75" customHeight="1">
      <c r="A8913"/>
    </row>
    <row r="8914" spans="1:1" ht="18.75" customHeight="1">
      <c r="A8914"/>
    </row>
    <row r="8915" spans="1:1" ht="18.75" customHeight="1">
      <c r="A8915"/>
    </row>
    <row r="8916" spans="1:1" ht="18.75" customHeight="1">
      <c r="A8916"/>
    </row>
    <row r="8917" spans="1:1" ht="18.75" customHeight="1">
      <c r="A8917"/>
    </row>
    <row r="8918" spans="1:1" ht="18.75" customHeight="1">
      <c r="A8918"/>
    </row>
    <row r="8919" spans="1:1" ht="18.75" customHeight="1">
      <c r="A8919"/>
    </row>
    <row r="8920" spans="1:1" ht="18.75" customHeight="1">
      <c r="A8920"/>
    </row>
    <row r="8921" spans="1:1" ht="18.75" customHeight="1">
      <c r="A8921"/>
    </row>
    <row r="8922" spans="1:1" ht="18.75" customHeight="1">
      <c r="A8922"/>
    </row>
    <row r="8923" spans="1:1" ht="18.75" customHeight="1">
      <c r="A8923"/>
    </row>
    <row r="8924" spans="1:1" ht="18.75" customHeight="1">
      <c r="A8924"/>
    </row>
    <row r="8925" spans="1:1" ht="18.75" customHeight="1">
      <c r="A8925"/>
    </row>
    <row r="8926" spans="1:1" ht="18.75" customHeight="1">
      <c r="A8926"/>
    </row>
    <row r="8927" spans="1:1" ht="18.75" customHeight="1">
      <c r="A8927"/>
    </row>
    <row r="8928" spans="1:1" ht="18.75" customHeight="1">
      <c r="A8928"/>
    </row>
    <row r="8929" spans="1:1" ht="18.75" customHeight="1">
      <c r="A8929"/>
    </row>
    <row r="8930" spans="1:1" ht="18.75" customHeight="1">
      <c r="A8930"/>
    </row>
    <row r="8931" spans="1:1" ht="18.75" customHeight="1">
      <c r="A8931"/>
    </row>
    <row r="8932" spans="1:1" ht="18.75" customHeight="1">
      <c r="A8932"/>
    </row>
    <row r="8933" spans="1:1" ht="18.75" customHeight="1">
      <c r="A8933"/>
    </row>
    <row r="8934" spans="1:1" ht="18.75" customHeight="1">
      <c r="A8934"/>
    </row>
    <row r="8935" spans="1:1" ht="18.75" customHeight="1">
      <c r="A8935"/>
    </row>
    <row r="8936" spans="1:1" ht="18.75" customHeight="1">
      <c r="A8936"/>
    </row>
    <row r="8937" spans="1:1" ht="18.75" customHeight="1">
      <c r="A8937"/>
    </row>
    <row r="8938" spans="1:1" ht="18.75" customHeight="1">
      <c r="A8938"/>
    </row>
    <row r="8939" spans="1:1" ht="18.75" customHeight="1">
      <c r="A8939"/>
    </row>
    <row r="8940" spans="1:1" ht="18.75" customHeight="1">
      <c r="A8940"/>
    </row>
    <row r="8941" spans="1:1" ht="18.75" customHeight="1">
      <c r="A8941"/>
    </row>
    <row r="8942" spans="1:1" ht="18.75" customHeight="1">
      <c r="A8942"/>
    </row>
    <row r="8943" spans="1:1" ht="18.75" customHeight="1">
      <c r="A8943"/>
    </row>
    <row r="8944" spans="1:1" ht="18.75" customHeight="1">
      <c r="A8944"/>
    </row>
    <row r="8945" spans="1:1" ht="18.75" customHeight="1">
      <c r="A8945"/>
    </row>
    <row r="8946" spans="1:1" ht="18.75" customHeight="1">
      <c r="A8946"/>
    </row>
    <row r="8947" spans="1:1" ht="18.75" customHeight="1">
      <c r="A8947"/>
    </row>
    <row r="8948" spans="1:1" ht="18.75" customHeight="1">
      <c r="A8948"/>
    </row>
    <row r="8949" spans="1:1" ht="18.75" customHeight="1">
      <c r="A8949"/>
    </row>
    <row r="8950" spans="1:1" ht="18.75" customHeight="1">
      <c r="A8950"/>
    </row>
    <row r="8951" spans="1:1" ht="18.75" customHeight="1">
      <c r="A8951"/>
    </row>
    <row r="8952" spans="1:1" ht="18.75" customHeight="1">
      <c r="A8952"/>
    </row>
    <row r="8953" spans="1:1" ht="18.75" customHeight="1">
      <c r="A8953"/>
    </row>
    <row r="8954" spans="1:1" ht="18.75" customHeight="1">
      <c r="A8954"/>
    </row>
    <row r="8955" spans="1:1" ht="18.75" customHeight="1">
      <c r="A8955"/>
    </row>
    <row r="8956" spans="1:1" ht="18.75" customHeight="1">
      <c r="A8956"/>
    </row>
    <row r="8957" spans="1:1" ht="18.75" customHeight="1">
      <c r="A8957"/>
    </row>
    <row r="8958" spans="1:1" ht="18.75" customHeight="1">
      <c r="A8958"/>
    </row>
    <row r="8959" spans="1:1" ht="18.75" customHeight="1">
      <c r="A8959"/>
    </row>
    <row r="8960" spans="1:1" ht="18.75" customHeight="1">
      <c r="A8960"/>
    </row>
    <row r="8961" spans="1:1" ht="18.75" customHeight="1">
      <c r="A8961"/>
    </row>
    <row r="8962" spans="1:1" ht="18.75" customHeight="1">
      <c r="A8962"/>
    </row>
    <row r="8963" spans="1:1" ht="18.75" customHeight="1">
      <c r="A8963"/>
    </row>
    <row r="8964" spans="1:1" ht="18.75" customHeight="1">
      <c r="A8964"/>
    </row>
    <row r="8965" spans="1:1" ht="18.75" customHeight="1">
      <c r="A8965"/>
    </row>
    <row r="8966" spans="1:1" ht="18.75" customHeight="1">
      <c r="A8966"/>
    </row>
    <row r="8967" spans="1:1" ht="18.75" customHeight="1">
      <c r="A8967"/>
    </row>
    <row r="8968" spans="1:1" ht="18.75" customHeight="1">
      <c r="A8968"/>
    </row>
    <row r="8969" spans="1:1" ht="18.75" customHeight="1">
      <c r="A8969"/>
    </row>
    <row r="8970" spans="1:1" ht="18.75" customHeight="1">
      <c r="A8970"/>
    </row>
    <row r="8971" spans="1:1" ht="18.75" customHeight="1">
      <c r="A8971"/>
    </row>
    <row r="8972" spans="1:1" ht="18.75" customHeight="1">
      <c r="A8972"/>
    </row>
    <row r="8973" spans="1:1" ht="18.75" customHeight="1">
      <c r="A8973"/>
    </row>
    <row r="8974" spans="1:1" ht="18.75" customHeight="1">
      <c r="A8974"/>
    </row>
    <row r="8975" spans="1:1" ht="18.75" customHeight="1">
      <c r="A8975"/>
    </row>
    <row r="8976" spans="1:1" ht="18.75" customHeight="1">
      <c r="A8976"/>
    </row>
    <row r="8977" spans="1:1" ht="18.75" customHeight="1">
      <c r="A8977"/>
    </row>
    <row r="8978" spans="1:1" ht="18.75" customHeight="1">
      <c r="A8978"/>
    </row>
    <row r="8979" spans="1:1" ht="18.75" customHeight="1">
      <c r="A8979"/>
    </row>
    <row r="8980" spans="1:1" ht="18.75" customHeight="1">
      <c r="A8980"/>
    </row>
    <row r="8981" spans="1:1" ht="18.75" customHeight="1">
      <c r="A8981"/>
    </row>
    <row r="8982" spans="1:1" ht="18.75" customHeight="1">
      <c r="A8982"/>
    </row>
    <row r="8983" spans="1:1" ht="18.75" customHeight="1">
      <c r="A8983"/>
    </row>
    <row r="8984" spans="1:1" ht="18.75" customHeight="1">
      <c r="A8984"/>
    </row>
    <row r="8985" spans="1:1" ht="18.75" customHeight="1">
      <c r="A8985"/>
    </row>
    <row r="8986" spans="1:1" ht="18.75" customHeight="1">
      <c r="A8986"/>
    </row>
    <row r="8987" spans="1:1" ht="18.75" customHeight="1">
      <c r="A8987"/>
    </row>
    <row r="8988" spans="1:1" ht="18.75" customHeight="1">
      <c r="A8988"/>
    </row>
    <row r="8989" spans="1:1" ht="18.75" customHeight="1">
      <c r="A8989"/>
    </row>
    <row r="8990" spans="1:1" ht="18.75" customHeight="1">
      <c r="A8990"/>
    </row>
    <row r="8991" spans="1:1" ht="18.75" customHeight="1">
      <c r="A8991"/>
    </row>
    <row r="8992" spans="1:1" ht="18.75" customHeight="1">
      <c r="A8992"/>
    </row>
    <row r="8993" spans="1:1" ht="18.75" customHeight="1">
      <c r="A8993"/>
    </row>
    <row r="8994" spans="1:1" ht="18.75" customHeight="1">
      <c r="A8994"/>
    </row>
    <row r="8995" spans="1:1" ht="18.75" customHeight="1">
      <c r="A8995"/>
    </row>
    <row r="8996" spans="1:1" ht="18.75" customHeight="1">
      <c r="A8996"/>
    </row>
    <row r="8997" spans="1:1" ht="18.75" customHeight="1">
      <c r="A8997"/>
    </row>
    <row r="8998" spans="1:1" ht="18.75" customHeight="1">
      <c r="A8998"/>
    </row>
    <row r="8999" spans="1:1" ht="18.75" customHeight="1">
      <c r="A8999"/>
    </row>
    <row r="9000" spans="1:1" ht="18.75" customHeight="1">
      <c r="A9000"/>
    </row>
    <row r="9001" spans="1:1" ht="18.75" customHeight="1">
      <c r="A9001"/>
    </row>
    <row r="9002" spans="1:1" ht="18.75" customHeight="1">
      <c r="A9002"/>
    </row>
    <row r="9003" spans="1:1" ht="18.75" customHeight="1">
      <c r="A9003"/>
    </row>
    <row r="9004" spans="1:1" ht="18.75" customHeight="1">
      <c r="A9004"/>
    </row>
    <row r="9005" spans="1:1" ht="18.75" customHeight="1">
      <c r="A9005"/>
    </row>
    <row r="9006" spans="1:1" ht="18.75" customHeight="1">
      <c r="A9006"/>
    </row>
    <row r="9007" spans="1:1" ht="18.75" customHeight="1">
      <c r="A9007"/>
    </row>
    <row r="9008" spans="1:1" ht="18.75" customHeight="1">
      <c r="A9008"/>
    </row>
    <row r="9009" spans="1:1" ht="18.75" customHeight="1">
      <c r="A9009"/>
    </row>
    <row r="9010" spans="1:1" ht="18.75" customHeight="1">
      <c r="A9010"/>
    </row>
    <row r="9011" spans="1:1" ht="18.75" customHeight="1">
      <c r="A9011"/>
    </row>
    <row r="9012" spans="1:1" ht="18.75" customHeight="1">
      <c r="A9012"/>
    </row>
    <row r="9013" spans="1:1" ht="18.75" customHeight="1">
      <c r="A9013"/>
    </row>
    <row r="9014" spans="1:1" ht="18.75" customHeight="1">
      <c r="A9014"/>
    </row>
    <row r="9015" spans="1:1" ht="18.75" customHeight="1">
      <c r="A9015"/>
    </row>
    <row r="9016" spans="1:1" ht="18.75" customHeight="1">
      <c r="A9016"/>
    </row>
    <row r="9017" spans="1:1" ht="18.75" customHeight="1">
      <c r="A9017"/>
    </row>
    <row r="9018" spans="1:1" ht="18.75" customHeight="1">
      <c r="A9018"/>
    </row>
    <row r="9019" spans="1:1" ht="18.75" customHeight="1">
      <c r="A9019"/>
    </row>
    <row r="9020" spans="1:1" ht="18.75" customHeight="1">
      <c r="A9020"/>
    </row>
    <row r="9021" spans="1:1" ht="18.75" customHeight="1">
      <c r="A9021"/>
    </row>
    <row r="9022" spans="1:1" ht="18.75" customHeight="1">
      <c r="A9022"/>
    </row>
    <row r="9023" spans="1:1" ht="18.75" customHeight="1">
      <c r="A9023"/>
    </row>
    <row r="9024" spans="1:1" ht="18.75" customHeight="1">
      <c r="A9024"/>
    </row>
    <row r="9025" spans="1:1" ht="18.75" customHeight="1">
      <c r="A9025"/>
    </row>
    <row r="9026" spans="1:1" ht="18.75" customHeight="1">
      <c r="A9026"/>
    </row>
    <row r="9027" spans="1:1" ht="18.75" customHeight="1">
      <c r="A9027"/>
    </row>
    <row r="9028" spans="1:1" ht="18.75" customHeight="1">
      <c r="A9028"/>
    </row>
    <row r="9029" spans="1:1" ht="18.75" customHeight="1">
      <c r="A9029"/>
    </row>
    <row r="9030" spans="1:1" ht="18.75" customHeight="1">
      <c r="A9030"/>
    </row>
    <row r="9031" spans="1:1" ht="18.75" customHeight="1">
      <c r="A9031"/>
    </row>
    <row r="9032" spans="1:1" ht="18.75" customHeight="1">
      <c r="A9032"/>
    </row>
    <row r="9033" spans="1:1" ht="18.75" customHeight="1">
      <c r="A9033"/>
    </row>
    <row r="9034" spans="1:1" ht="18.75" customHeight="1">
      <c r="A9034"/>
    </row>
    <row r="9035" spans="1:1" ht="18.75" customHeight="1">
      <c r="A9035"/>
    </row>
    <row r="9036" spans="1:1" ht="18.75" customHeight="1">
      <c r="A9036"/>
    </row>
    <row r="9037" spans="1:1" ht="18.75" customHeight="1">
      <c r="A9037"/>
    </row>
    <row r="9038" spans="1:1" ht="18.75" customHeight="1">
      <c r="A9038"/>
    </row>
    <row r="9039" spans="1:1" ht="18.75" customHeight="1">
      <c r="A9039"/>
    </row>
    <row r="9040" spans="1:1" ht="18.75" customHeight="1">
      <c r="A9040"/>
    </row>
    <row r="9041" spans="1:1" ht="18.75" customHeight="1">
      <c r="A9041"/>
    </row>
    <row r="9042" spans="1:1" ht="18.75" customHeight="1">
      <c r="A9042"/>
    </row>
    <row r="9043" spans="1:1" ht="18.75" customHeight="1">
      <c r="A9043"/>
    </row>
    <row r="9044" spans="1:1" ht="18.75" customHeight="1">
      <c r="A9044"/>
    </row>
    <row r="9045" spans="1:1" ht="18.75" customHeight="1">
      <c r="A9045"/>
    </row>
    <row r="9046" spans="1:1" ht="18.75" customHeight="1">
      <c r="A9046"/>
    </row>
    <row r="9047" spans="1:1" ht="18.75" customHeight="1">
      <c r="A9047"/>
    </row>
    <row r="9048" spans="1:1" ht="18.75" customHeight="1">
      <c r="A9048"/>
    </row>
    <row r="9049" spans="1:1" ht="18.75" customHeight="1">
      <c r="A9049"/>
    </row>
    <row r="9050" spans="1:1" ht="18.75" customHeight="1">
      <c r="A9050"/>
    </row>
    <row r="9051" spans="1:1" ht="18.75" customHeight="1">
      <c r="A9051"/>
    </row>
    <row r="9052" spans="1:1" ht="18.75" customHeight="1">
      <c r="A9052"/>
    </row>
    <row r="9053" spans="1:1" ht="18.75" customHeight="1">
      <c r="A9053"/>
    </row>
    <row r="9054" spans="1:1" ht="18.75" customHeight="1">
      <c r="A9054"/>
    </row>
    <row r="9055" spans="1:1" ht="18.75" customHeight="1">
      <c r="A9055"/>
    </row>
    <row r="9056" spans="1:1" ht="18.75" customHeight="1">
      <c r="A9056"/>
    </row>
    <row r="9057" spans="1:1" ht="18.75" customHeight="1">
      <c r="A9057"/>
    </row>
    <row r="9058" spans="1:1" ht="18.75" customHeight="1">
      <c r="A9058"/>
    </row>
    <row r="9059" spans="1:1" ht="18.75" customHeight="1">
      <c r="A9059"/>
    </row>
    <row r="9060" spans="1:1" ht="18.75" customHeight="1">
      <c r="A9060"/>
    </row>
    <row r="9061" spans="1:1" ht="18.75" customHeight="1">
      <c r="A9061"/>
    </row>
    <row r="9062" spans="1:1" ht="18.75" customHeight="1">
      <c r="A9062"/>
    </row>
    <row r="9063" spans="1:1" ht="18.75" customHeight="1">
      <c r="A9063"/>
    </row>
    <row r="9064" spans="1:1" ht="18.75" customHeight="1">
      <c r="A9064"/>
    </row>
    <row r="9065" spans="1:1" ht="18.75" customHeight="1">
      <c r="A9065"/>
    </row>
    <row r="9066" spans="1:1" ht="18.75" customHeight="1">
      <c r="A9066"/>
    </row>
    <row r="9067" spans="1:1" ht="18.75" customHeight="1">
      <c r="A9067"/>
    </row>
    <row r="9068" spans="1:1" ht="18.75" customHeight="1">
      <c r="A9068"/>
    </row>
    <row r="9069" spans="1:1" ht="18.75" customHeight="1">
      <c r="A9069"/>
    </row>
    <row r="9070" spans="1:1" ht="18.75" customHeight="1">
      <c r="A9070"/>
    </row>
    <row r="9071" spans="1:1" ht="18.75" customHeight="1">
      <c r="A9071"/>
    </row>
    <row r="9072" spans="1:1" ht="18.75" customHeight="1">
      <c r="A9072"/>
    </row>
    <row r="9073" spans="1:1" ht="18.75" customHeight="1">
      <c r="A9073"/>
    </row>
    <row r="9074" spans="1:1" ht="18.75" customHeight="1">
      <c r="A9074"/>
    </row>
    <row r="9075" spans="1:1" ht="18.75" customHeight="1">
      <c r="A9075"/>
    </row>
    <row r="9076" spans="1:1" ht="18.75" customHeight="1">
      <c r="A9076"/>
    </row>
    <row r="9077" spans="1:1" ht="18.75" customHeight="1">
      <c r="A9077"/>
    </row>
    <row r="9078" spans="1:1" ht="18.75" customHeight="1">
      <c r="A9078"/>
    </row>
    <row r="9079" spans="1:1" ht="18.75" customHeight="1">
      <c r="A9079"/>
    </row>
    <row r="9080" spans="1:1" ht="18.75" customHeight="1">
      <c r="A9080"/>
    </row>
    <row r="9081" spans="1:1" ht="18.75" customHeight="1">
      <c r="A9081"/>
    </row>
    <row r="9082" spans="1:1" ht="18.75" customHeight="1">
      <c r="A9082"/>
    </row>
    <row r="9083" spans="1:1" ht="18.75" customHeight="1">
      <c r="A9083"/>
    </row>
    <row r="9084" spans="1:1" ht="18.75" customHeight="1">
      <c r="A9084"/>
    </row>
    <row r="9085" spans="1:1" ht="18.75" customHeight="1">
      <c r="A9085"/>
    </row>
    <row r="9086" spans="1:1" ht="18.75" customHeight="1">
      <c r="A9086"/>
    </row>
    <row r="9087" spans="1:1" ht="18.75" customHeight="1">
      <c r="A9087"/>
    </row>
    <row r="9088" spans="1:1" ht="18.75" customHeight="1">
      <c r="A9088"/>
    </row>
    <row r="9089" spans="1:1" ht="18.75" customHeight="1">
      <c r="A9089"/>
    </row>
    <row r="9090" spans="1:1" ht="18.75" customHeight="1">
      <c r="A9090"/>
    </row>
    <row r="9091" spans="1:1" ht="18.75" customHeight="1">
      <c r="A9091"/>
    </row>
    <row r="9092" spans="1:1" ht="18.75" customHeight="1">
      <c r="A9092"/>
    </row>
    <row r="9093" spans="1:1" ht="18.75" customHeight="1">
      <c r="A9093"/>
    </row>
    <row r="9094" spans="1:1" ht="18.75" customHeight="1">
      <c r="A9094"/>
    </row>
    <row r="9095" spans="1:1" ht="18.75" customHeight="1">
      <c r="A9095"/>
    </row>
    <row r="9096" spans="1:1" ht="18.75" customHeight="1">
      <c r="A9096"/>
    </row>
    <row r="9097" spans="1:1" ht="18.75" customHeight="1">
      <c r="A9097"/>
    </row>
    <row r="9098" spans="1:1" ht="18.75" customHeight="1">
      <c r="A9098"/>
    </row>
    <row r="9099" spans="1:1" ht="18.75" customHeight="1">
      <c r="A9099"/>
    </row>
    <row r="9100" spans="1:1" ht="18.75" customHeight="1">
      <c r="A9100"/>
    </row>
    <row r="9101" spans="1:1" ht="18.75" customHeight="1">
      <c r="A9101"/>
    </row>
    <row r="9102" spans="1:1" ht="18.75" customHeight="1">
      <c r="A9102"/>
    </row>
    <row r="9103" spans="1:1" ht="18.75" customHeight="1">
      <c r="A9103"/>
    </row>
    <row r="9104" spans="1:1" ht="18.75" customHeight="1">
      <c r="A9104"/>
    </row>
    <row r="9105" spans="1:1" ht="18.75" customHeight="1">
      <c r="A9105"/>
    </row>
    <row r="9106" spans="1:1" ht="18.75" customHeight="1">
      <c r="A9106"/>
    </row>
    <row r="9107" spans="1:1" ht="18.75" customHeight="1">
      <c r="A9107"/>
    </row>
    <row r="9108" spans="1:1" ht="18.75" customHeight="1">
      <c r="A9108"/>
    </row>
    <row r="9109" spans="1:1" ht="18.75" customHeight="1">
      <c r="A9109"/>
    </row>
    <row r="9110" spans="1:1" ht="18.75" customHeight="1">
      <c r="A9110"/>
    </row>
    <row r="9111" spans="1:1" ht="18.75" customHeight="1">
      <c r="A9111"/>
    </row>
    <row r="9112" spans="1:1" ht="18.75" customHeight="1">
      <c r="A9112"/>
    </row>
    <row r="9113" spans="1:1" ht="18.75" customHeight="1">
      <c r="A9113"/>
    </row>
    <row r="9114" spans="1:1" ht="18.75" customHeight="1">
      <c r="A9114"/>
    </row>
    <row r="9115" spans="1:1" ht="18.75" customHeight="1">
      <c r="A9115"/>
    </row>
    <row r="9116" spans="1:1" ht="18.75" customHeight="1">
      <c r="A9116"/>
    </row>
    <row r="9117" spans="1:1" ht="18.75" customHeight="1">
      <c r="A9117"/>
    </row>
    <row r="9118" spans="1:1" ht="18.75" customHeight="1">
      <c r="A9118"/>
    </row>
    <row r="9119" spans="1:1" ht="18.75" customHeight="1">
      <c r="A9119"/>
    </row>
    <row r="9120" spans="1:1" ht="18.75" customHeight="1">
      <c r="A9120"/>
    </row>
    <row r="9121" spans="1:1" ht="18.75" customHeight="1">
      <c r="A9121"/>
    </row>
    <row r="9122" spans="1:1" ht="18.75" customHeight="1">
      <c r="A9122"/>
    </row>
    <row r="9123" spans="1:1" ht="18.75" customHeight="1">
      <c r="A9123"/>
    </row>
    <row r="9124" spans="1:1" ht="18.75" customHeight="1">
      <c r="A9124"/>
    </row>
    <row r="9125" spans="1:1" ht="18.75" customHeight="1">
      <c r="A9125"/>
    </row>
    <row r="9126" spans="1:1" ht="18.75" customHeight="1">
      <c r="A9126"/>
    </row>
    <row r="9127" spans="1:1" ht="18.75" customHeight="1">
      <c r="A9127"/>
    </row>
    <row r="9128" spans="1:1" ht="18.75" customHeight="1">
      <c r="A9128"/>
    </row>
    <row r="9129" spans="1:1" ht="18.75" customHeight="1">
      <c r="A9129"/>
    </row>
    <row r="9130" spans="1:1" ht="18.75" customHeight="1">
      <c r="A9130"/>
    </row>
    <row r="9131" spans="1:1" ht="18.75" customHeight="1">
      <c r="A9131"/>
    </row>
    <row r="9132" spans="1:1" ht="18.75" customHeight="1">
      <c r="A9132"/>
    </row>
    <row r="9133" spans="1:1" ht="18.75" customHeight="1">
      <c r="A9133"/>
    </row>
    <row r="9134" spans="1:1" ht="18.75" customHeight="1">
      <c r="A9134"/>
    </row>
    <row r="9135" spans="1:1" ht="18.75" customHeight="1">
      <c r="A9135"/>
    </row>
    <row r="9136" spans="1:1" ht="18.75" customHeight="1">
      <c r="A9136"/>
    </row>
    <row r="9137" spans="1:1" ht="18.75" customHeight="1">
      <c r="A9137"/>
    </row>
    <row r="9138" spans="1:1" ht="18.75" customHeight="1">
      <c r="A9138"/>
    </row>
    <row r="9139" spans="1:1" ht="18.75" customHeight="1">
      <c r="A9139"/>
    </row>
    <row r="9140" spans="1:1" ht="18.75" customHeight="1">
      <c r="A9140"/>
    </row>
    <row r="9141" spans="1:1" ht="18.75" customHeight="1">
      <c r="A9141"/>
    </row>
    <row r="9142" spans="1:1" ht="18.75" customHeight="1">
      <c r="A9142"/>
    </row>
    <row r="9143" spans="1:1" ht="18.75" customHeight="1">
      <c r="A9143"/>
    </row>
    <row r="9144" spans="1:1" ht="18.75" customHeight="1">
      <c r="A9144"/>
    </row>
    <row r="9145" spans="1:1" ht="18.75" customHeight="1">
      <c r="A9145"/>
    </row>
    <row r="9146" spans="1:1" ht="18.75" customHeight="1">
      <c r="A9146"/>
    </row>
    <row r="9147" spans="1:1" ht="18.75" customHeight="1">
      <c r="A9147"/>
    </row>
    <row r="9148" spans="1:1" ht="18.75" customHeight="1">
      <c r="A9148"/>
    </row>
    <row r="9149" spans="1:1" ht="18.75" customHeight="1">
      <c r="A9149"/>
    </row>
    <row r="9150" spans="1:1" ht="18.75" customHeight="1">
      <c r="A9150"/>
    </row>
    <row r="9151" spans="1:1" ht="18.75" customHeight="1">
      <c r="A9151"/>
    </row>
    <row r="9152" spans="1:1" ht="18.75" customHeight="1">
      <c r="A9152"/>
    </row>
    <row r="9153" spans="1:1" ht="18.75" customHeight="1">
      <c r="A9153"/>
    </row>
    <row r="9154" spans="1:1" ht="18.75" customHeight="1">
      <c r="A9154"/>
    </row>
    <row r="9155" spans="1:1" ht="18.75" customHeight="1">
      <c r="A9155"/>
    </row>
    <row r="9156" spans="1:1" ht="18.75" customHeight="1">
      <c r="A9156"/>
    </row>
    <row r="9157" spans="1:1" ht="18.75" customHeight="1">
      <c r="A9157"/>
    </row>
    <row r="9158" spans="1:1" ht="18.75" customHeight="1">
      <c r="A9158"/>
    </row>
    <row r="9159" spans="1:1" ht="18.75" customHeight="1">
      <c r="A9159"/>
    </row>
    <row r="9160" spans="1:1" ht="18.75" customHeight="1">
      <c r="A9160"/>
    </row>
    <row r="9161" spans="1:1" ht="18.75" customHeight="1">
      <c r="A9161"/>
    </row>
    <row r="9162" spans="1:1" ht="18.75" customHeight="1">
      <c r="A9162"/>
    </row>
    <row r="9163" spans="1:1" ht="18.75" customHeight="1">
      <c r="A9163"/>
    </row>
    <row r="9164" spans="1:1" ht="18.75" customHeight="1">
      <c r="A9164"/>
    </row>
    <row r="9165" spans="1:1" ht="18.75" customHeight="1">
      <c r="A9165"/>
    </row>
    <row r="9166" spans="1:1" ht="18.75" customHeight="1">
      <c r="A9166"/>
    </row>
    <row r="9167" spans="1:1" ht="18.75" customHeight="1">
      <c r="A9167"/>
    </row>
    <row r="9168" spans="1:1" ht="18.75" customHeight="1">
      <c r="A9168"/>
    </row>
    <row r="9169" spans="1:1" ht="18.75" customHeight="1">
      <c r="A9169"/>
    </row>
    <row r="9170" spans="1:1" ht="18.75" customHeight="1">
      <c r="A9170"/>
    </row>
    <row r="9171" spans="1:1" ht="18.75" customHeight="1">
      <c r="A9171"/>
    </row>
    <row r="9172" spans="1:1" ht="18.75" customHeight="1">
      <c r="A9172"/>
    </row>
    <row r="9173" spans="1:1" ht="18.75" customHeight="1">
      <c r="A9173"/>
    </row>
    <row r="9174" spans="1:1" ht="18.75" customHeight="1">
      <c r="A9174"/>
    </row>
    <row r="9175" spans="1:1" ht="18.75" customHeight="1">
      <c r="A9175"/>
    </row>
    <row r="9176" spans="1:1" ht="18.75" customHeight="1">
      <c r="A9176"/>
    </row>
    <row r="9177" spans="1:1" ht="18.75" customHeight="1">
      <c r="A9177"/>
    </row>
    <row r="9178" spans="1:1" ht="18.75" customHeight="1">
      <c r="A9178"/>
    </row>
    <row r="9179" spans="1:1" ht="18.75" customHeight="1">
      <c r="A9179"/>
    </row>
    <row r="9180" spans="1:1" ht="18.75" customHeight="1">
      <c r="A9180"/>
    </row>
    <row r="9181" spans="1:1" ht="18.75" customHeight="1">
      <c r="A9181"/>
    </row>
    <row r="9182" spans="1:1" ht="18.75" customHeight="1">
      <c r="A9182"/>
    </row>
    <row r="9183" spans="1:1" ht="18.75" customHeight="1">
      <c r="A9183"/>
    </row>
    <row r="9184" spans="1:1" ht="18.75" customHeight="1">
      <c r="A9184"/>
    </row>
    <row r="9185" spans="1:1" ht="18.75" customHeight="1">
      <c r="A9185"/>
    </row>
    <row r="9186" spans="1:1" ht="18.75" customHeight="1">
      <c r="A9186"/>
    </row>
    <row r="9187" spans="1:1" ht="18.75" customHeight="1">
      <c r="A9187"/>
    </row>
    <row r="9188" spans="1:1" ht="18.75" customHeight="1">
      <c r="A9188"/>
    </row>
    <row r="9189" spans="1:1" ht="18.75" customHeight="1">
      <c r="A9189"/>
    </row>
    <row r="9190" spans="1:1" ht="18.75" customHeight="1">
      <c r="A9190"/>
    </row>
    <row r="9191" spans="1:1" ht="18.75" customHeight="1">
      <c r="A9191"/>
    </row>
    <row r="9192" spans="1:1" ht="18.75" customHeight="1">
      <c r="A9192"/>
    </row>
    <row r="9193" spans="1:1" ht="18.75" customHeight="1">
      <c r="A9193"/>
    </row>
    <row r="9194" spans="1:1" ht="18.75" customHeight="1">
      <c r="A9194"/>
    </row>
    <row r="9195" spans="1:1" ht="18.75" customHeight="1">
      <c r="A9195"/>
    </row>
    <row r="9196" spans="1:1" ht="18.75" customHeight="1">
      <c r="A9196"/>
    </row>
    <row r="9197" spans="1:1" ht="18.75" customHeight="1">
      <c r="A9197"/>
    </row>
    <row r="9198" spans="1:1" ht="18.75" customHeight="1">
      <c r="A9198"/>
    </row>
    <row r="9199" spans="1:1" ht="18.75" customHeight="1">
      <c r="A9199"/>
    </row>
    <row r="9200" spans="1:1" ht="18.75" customHeight="1">
      <c r="A9200"/>
    </row>
    <row r="9201" spans="1:1" ht="18.75" customHeight="1">
      <c r="A9201"/>
    </row>
    <row r="9202" spans="1:1" ht="18.75" customHeight="1">
      <c r="A9202"/>
    </row>
    <row r="9203" spans="1:1" ht="18.75" customHeight="1">
      <c r="A9203"/>
    </row>
    <row r="9204" spans="1:1" ht="18.75" customHeight="1">
      <c r="A9204"/>
    </row>
    <row r="9205" spans="1:1" ht="18.75" customHeight="1">
      <c r="A9205"/>
    </row>
    <row r="9206" spans="1:1" ht="18.75" customHeight="1">
      <c r="A9206"/>
    </row>
    <row r="9207" spans="1:1" ht="18.75" customHeight="1">
      <c r="A9207"/>
    </row>
    <row r="9208" spans="1:1" ht="18.75" customHeight="1">
      <c r="A9208"/>
    </row>
    <row r="9209" spans="1:1" ht="18.75" customHeight="1">
      <c r="A9209"/>
    </row>
    <row r="9210" spans="1:1" ht="18.75" customHeight="1">
      <c r="A9210"/>
    </row>
    <row r="9211" spans="1:1" ht="18.75" customHeight="1">
      <c r="A9211"/>
    </row>
    <row r="9212" spans="1:1" ht="18.75" customHeight="1">
      <c r="A9212"/>
    </row>
    <row r="9213" spans="1:1" ht="18.75" customHeight="1">
      <c r="A9213"/>
    </row>
    <row r="9214" spans="1:1" ht="18.75" customHeight="1">
      <c r="A9214"/>
    </row>
    <row r="9215" spans="1:1" ht="18.75" customHeight="1">
      <c r="A9215"/>
    </row>
    <row r="9216" spans="1:1" ht="18.75" customHeight="1">
      <c r="A9216"/>
    </row>
    <row r="9217" spans="1:1" ht="18.75" customHeight="1">
      <c r="A9217"/>
    </row>
    <row r="9218" spans="1:1" ht="18.75" customHeight="1">
      <c r="A9218"/>
    </row>
    <row r="9219" spans="1:1" ht="18.75" customHeight="1">
      <c r="A9219"/>
    </row>
    <row r="9220" spans="1:1" ht="18.75" customHeight="1">
      <c r="A9220"/>
    </row>
    <row r="9221" spans="1:1" ht="18.75" customHeight="1">
      <c r="A9221"/>
    </row>
    <row r="9222" spans="1:1" ht="18.75" customHeight="1">
      <c r="A9222"/>
    </row>
    <row r="9223" spans="1:1" ht="18.75" customHeight="1">
      <c r="A9223"/>
    </row>
    <row r="9224" spans="1:1" ht="18.75" customHeight="1">
      <c r="A9224"/>
    </row>
    <row r="9225" spans="1:1" ht="18.75" customHeight="1">
      <c r="A9225"/>
    </row>
    <row r="9226" spans="1:1" ht="18.75" customHeight="1">
      <c r="A9226"/>
    </row>
    <row r="9227" spans="1:1" ht="18.75" customHeight="1">
      <c r="A9227"/>
    </row>
    <row r="9228" spans="1:1" ht="18.75" customHeight="1">
      <c r="A9228"/>
    </row>
    <row r="9229" spans="1:1" ht="18.75" customHeight="1">
      <c r="A9229"/>
    </row>
    <row r="9230" spans="1:1" ht="18.75" customHeight="1">
      <c r="A9230"/>
    </row>
    <row r="9231" spans="1:1" ht="18.75" customHeight="1">
      <c r="A9231"/>
    </row>
    <row r="9232" spans="1:1" ht="18.75" customHeight="1">
      <c r="A9232"/>
    </row>
    <row r="9233" spans="1:1" ht="18.75" customHeight="1">
      <c r="A9233"/>
    </row>
    <row r="9234" spans="1:1" ht="18.75" customHeight="1">
      <c r="A9234"/>
    </row>
    <row r="9235" spans="1:1" ht="18.75" customHeight="1">
      <c r="A9235"/>
    </row>
    <row r="9236" spans="1:1" ht="18.75" customHeight="1">
      <c r="A9236"/>
    </row>
    <row r="9237" spans="1:1" ht="18.75" customHeight="1">
      <c r="A9237"/>
    </row>
    <row r="9238" spans="1:1" ht="18.75" customHeight="1">
      <c r="A9238"/>
    </row>
    <row r="9239" spans="1:1" ht="18.75" customHeight="1">
      <c r="A9239"/>
    </row>
    <row r="9240" spans="1:1" ht="18.75" customHeight="1">
      <c r="A9240"/>
    </row>
    <row r="9241" spans="1:1" ht="18.75" customHeight="1">
      <c r="A9241"/>
    </row>
    <row r="9242" spans="1:1" ht="18.75" customHeight="1">
      <c r="A9242"/>
    </row>
    <row r="9243" spans="1:1" ht="18.75" customHeight="1">
      <c r="A9243"/>
    </row>
    <row r="9244" spans="1:1" ht="18.75" customHeight="1">
      <c r="A9244"/>
    </row>
    <row r="9245" spans="1:1" ht="18.75" customHeight="1">
      <c r="A9245"/>
    </row>
    <row r="9246" spans="1:1" ht="18.75" customHeight="1">
      <c r="A9246"/>
    </row>
    <row r="9247" spans="1:1" ht="18.75" customHeight="1">
      <c r="A9247"/>
    </row>
    <row r="9248" spans="1:1" ht="18.75" customHeight="1">
      <c r="A9248"/>
    </row>
    <row r="9249" spans="1:1" ht="18.75" customHeight="1">
      <c r="A9249"/>
    </row>
    <row r="9250" spans="1:1" ht="18.75" customHeight="1">
      <c r="A9250"/>
    </row>
    <row r="9251" spans="1:1" ht="18.75" customHeight="1">
      <c r="A9251"/>
    </row>
    <row r="9252" spans="1:1" ht="18.75" customHeight="1">
      <c r="A9252"/>
    </row>
    <row r="9253" spans="1:1" ht="18.75" customHeight="1">
      <c r="A9253"/>
    </row>
    <row r="9254" spans="1:1" ht="18.75" customHeight="1">
      <c r="A9254"/>
    </row>
    <row r="9255" spans="1:1" ht="18.75" customHeight="1">
      <c r="A9255"/>
    </row>
    <row r="9256" spans="1:1" ht="18.75" customHeight="1">
      <c r="A9256"/>
    </row>
    <row r="9257" spans="1:1" ht="18.75" customHeight="1">
      <c r="A9257"/>
    </row>
    <row r="9258" spans="1:1" ht="18.75" customHeight="1">
      <c r="A9258"/>
    </row>
    <row r="9259" spans="1:1" ht="18.75" customHeight="1">
      <c r="A9259"/>
    </row>
    <row r="9260" spans="1:1" ht="18.75" customHeight="1">
      <c r="A9260"/>
    </row>
    <row r="9261" spans="1:1" ht="18.75" customHeight="1">
      <c r="A9261"/>
    </row>
    <row r="9262" spans="1:1" ht="18.75" customHeight="1">
      <c r="A9262"/>
    </row>
    <row r="9263" spans="1:1" ht="18.75" customHeight="1">
      <c r="A9263"/>
    </row>
    <row r="9264" spans="1:1" ht="18.75" customHeight="1">
      <c r="A9264"/>
    </row>
    <row r="9265" spans="1:1" ht="18.75" customHeight="1">
      <c r="A9265"/>
    </row>
    <row r="9266" spans="1:1" ht="18.75" customHeight="1">
      <c r="A9266"/>
    </row>
    <row r="9267" spans="1:1" ht="18.75" customHeight="1">
      <c r="A9267"/>
    </row>
    <row r="9268" spans="1:1" ht="18.75" customHeight="1">
      <c r="A9268"/>
    </row>
    <row r="9269" spans="1:1" ht="18.75" customHeight="1">
      <c r="A9269"/>
    </row>
    <row r="9270" spans="1:1" ht="18.75" customHeight="1">
      <c r="A9270"/>
    </row>
    <row r="9271" spans="1:1" ht="18.75" customHeight="1">
      <c r="A9271"/>
    </row>
    <row r="9272" spans="1:1" ht="18.75" customHeight="1">
      <c r="A9272"/>
    </row>
    <row r="9273" spans="1:1" ht="18.75" customHeight="1">
      <c r="A9273"/>
    </row>
    <row r="9274" spans="1:1" ht="18.75" customHeight="1">
      <c r="A9274"/>
    </row>
    <row r="9275" spans="1:1" ht="18.75" customHeight="1">
      <c r="A9275"/>
    </row>
    <row r="9276" spans="1:1" ht="18.75" customHeight="1">
      <c r="A9276"/>
    </row>
    <row r="9277" spans="1:1" ht="18.75" customHeight="1">
      <c r="A9277"/>
    </row>
    <row r="9278" spans="1:1" ht="18.75" customHeight="1">
      <c r="A9278"/>
    </row>
    <row r="9279" spans="1:1" ht="18.75" customHeight="1">
      <c r="A9279"/>
    </row>
    <row r="9280" spans="1:1" ht="18.75" customHeight="1">
      <c r="A9280"/>
    </row>
    <row r="9281" spans="1:1" ht="18.75" customHeight="1">
      <c r="A9281"/>
    </row>
    <row r="9282" spans="1:1" ht="18.75" customHeight="1">
      <c r="A9282"/>
    </row>
    <row r="9283" spans="1:1" ht="18.75" customHeight="1">
      <c r="A9283"/>
    </row>
    <row r="9284" spans="1:1" ht="18.75" customHeight="1">
      <c r="A9284"/>
    </row>
    <row r="9285" spans="1:1" ht="18.75" customHeight="1">
      <c r="A9285"/>
    </row>
    <row r="9286" spans="1:1" ht="18.75" customHeight="1">
      <c r="A9286"/>
    </row>
    <row r="9287" spans="1:1" ht="18.75" customHeight="1">
      <c r="A9287"/>
    </row>
    <row r="9288" spans="1:1" ht="18.75" customHeight="1">
      <c r="A9288"/>
    </row>
    <row r="9289" spans="1:1" ht="18.75" customHeight="1">
      <c r="A9289"/>
    </row>
    <row r="9290" spans="1:1" ht="18.75" customHeight="1">
      <c r="A9290"/>
    </row>
    <row r="9291" spans="1:1" ht="18.75" customHeight="1">
      <c r="A9291"/>
    </row>
    <row r="9292" spans="1:1" ht="18.75" customHeight="1">
      <c r="A9292"/>
    </row>
    <row r="9293" spans="1:1" ht="18.75" customHeight="1">
      <c r="A9293"/>
    </row>
    <row r="9294" spans="1:1" ht="18.75" customHeight="1">
      <c r="A9294"/>
    </row>
    <row r="9295" spans="1:1" ht="18.75" customHeight="1">
      <c r="A9295"/>
    </row>
    <row r="9296" spans="1:1" ht="18.75" customHeight="1">
      <c r="A9296"/>
    </row>
    <row r="9297" spans="1:1" ht="18.75" customHeight="1">
      <c r="A9297"/>
    </row>
    <row r="9298" spans="1:1" ht="18.75" customHeight="1">
      <c r="A9298"/>
    </row>
    <row r="9299" spans="1:1" ht="18.75" customHeight="1">
      <c r="A9299"/>
    </row>
    <row r="9300" spans="1:1" ht="18.75" customHeight="1">
      <c r="A9300"/>
    </row>
    <row r="9301" spans="1:1" ht="18.75" customHeight="1">
      <c r="A9301"/>
    </row>
    <row r="9302" spans="1:1" ht="18.75" customHeight="1">
      <c r="A9302"/>
    </row>
    <row r="9303" spans="1:1" ht="18.75" customHeight="1">
      <c r="A9303"/>
    </row>
    <row r="9304" spans="1:1" ht="18.75" customHeight="1">
      <c r="A9304"/>
    </row>
    <row r="9305" spans="1:1" ht="18.75" customHeight="1">
      <c r="A9305"/>
    </row>
    <row r="9306" spans="1:1" ht="18.75" customHeight="1">
      <c r="A9306"/>
    </row>
    <row r="9307" spans="1:1" ht="18.75" customHeight="1">
      <c r="A9307"/>
    </row>
    <row r="9308" spans="1:1" ht="18.75" customHeight="1">
      <c r="A9308"/>
    </row>
    <row r="9309" spans="1:1" ht="18.75" customHeight="1">
      <c r="A9309"/>
    </row>
    <row r="9310" spans="1:1" ht="18.75" customHeight="1">
      <c r="A9310"/>
    </row>
    <row r="9311" spans="1:1" ht="18.75" customHeight="1">
      <c r="A9311"/>
    </row>
    <row r="9312" spans="1:1" ht="18.75" customHeight="1">
      <c r="A9312"/>
    </row>
    <row r="9313" spans="1:1" ht="18.75" customHeight="1">
      <c r="A9313"/>
    </row>
    <row r="9314" spans="1:1" ht="18.75" customHeight="1">
      <c r="A9314"/>
    </row>
    <row r="9315" spans="1:1" ht="18.75" customHeight="1">
      <c r="A9315"/>
    </row>
    <row r="9316" spans="1:1" ht="18.75" customHeight="1">
      <c r="A9316"/>
    </row>
    <row r="9317" spans="1:1" ht="18.75" customHeight="1">
      <c r="A9317"/>
    </row>
    <row r="9318" spans="1:1" ht="18.75" customHeight="1">
      <c r="A9318"/>
    </row>
    <row r="9319" spans="1:1" ht="18.75" customHeight="1">
      <c r="A9319"/>
    </row>
    <row r="9320" spans="1:1" ht="18.75" customHeight="1">
      <c r="A9320"/>
    </row>
    <row r="9321" spans="1:1" ht="18.75" customHeight="1">
      <c r="A9321"/>
    </row>
    <row r="9322" spans="1:1" ht="18.75" customHeight="1">
      <c r="A9322"/>
    </row>
    <row r="9323" spans="1:1" ht="18.75" customHeight="1">
      <c r="A9323"/>
    </row>
    <row r="9324" spans="1:1" ht="18.75" customHeight="1">
      <c r="A9324"/>
    </row>
    <row r="9325" spans="1:1" ht="18.75" customHeight="1">
      <c r="A9325"/>
    </row>
    <row r="9326" spans="1:1" ht="18.75" customHeight="1">
      <c r="A9326"/>
    </row>
    <row r="9327" spans="1:1" ht="18.75" customHeight="1">
      <c r="A9327"/>
    </row>
    <row r="9328" spans="1:1" ht="18.75" customHeight="1">
      <c r="A9328"/>
    </row>
    <row r="9329" spans="1:1" ht="18.75" customHeight="1">
      <c r="A9329"/>
    </row>
    <row r="9330" spans="1:1" ht="18.75" customHeight="1">
      <c r="A9330"/>
    </row>
    <row r="9331" spans="1:1" ht="18.75" customHeight="1">
      <c r="A9331"/>
    </row>
    <row r="9332" spans="1:1" ht="18.75" customHeight="1">
      <c r="A9332"/>
    </row>
    <row r="9333" spans="1:1" ht="18.75" customHeight="1">
      <c r="A9333"/>
    </row>
    <row r="9334" spans="1:1" ht="18.75" customHeight="1">
      <c r="A9334"/>
    </row>
    <row r="9335" spans="1:1" ht="18.75" customHeight="1">
      <c r="A9335"/>
    </row>
    <row r="9336" spans="1:1" ht="18.75" customHeight="1">
      <c r="A9336"/>
    </row>
    <row r="9337" spans="1:1" ht="18.75" customHeight="1">
      <c r="A9337"/>
    </row>
    <row r="9338" spans="1:1" ht="18.75" customHeight="1">
      <c r="A9338"/>
    </row>
    <row r="9339" spans="1:1" ht="18.75" customHeight="1">
      <c r="A9339"/>
    </row>
    <row r="9340" spans="1:1" ht="18.75" customHeight="1">
      <c r="A9340"/>
    </row>
    <row r="9341" spans="1:1" ht="18.75" customHeight="1">
      <c r="A9341"/>
    </row>
    <row r="9342" spans="1:1" ht="18.75" customHeight="1">
      <c r="A9342"/>
    </row>
    <row r="9343" spans="1:1" ht="18.75" customHeight="1">
      <c r="A9343"/>
    </row>
    <row r="9344" spans="1:1" ht="18.75" customHeight="1">
      <c r="A9344"/>
    </row>
    <row r="9345" spans="1:1" ht="18.75" customHeight="1">
      <c r="A9345"/>
    </row>
    <row r="9346" spans="1:1" ht="18.75" customHeight="1">
      <c r="A9346"/>
    </row>
    <row r="9347" spans="1:1" ht="18.75" customHeight="1">
      <c r="A9347"/>
    </row>
    <row r="9348" spans="1:1" ht="18.75" customHeight="1">
      <c r="A9348"/>
    </row>
    <row r="9349" spans="1:1" ht="18.75" customHeight="1">
      <c r="A9349"/>
    </row>
    <row r="9350" spans="1:1" ht="18.75" customHeight="1">
      <c r="A9350"/>
    </row>
    <row r="9351" spans="1:1" ht="18.75" customHeight="1">
      <c r="A9351"/>
    </row>
    <row r="9352" spans="1:1" ht="18.75" customHeight="1">
      <c r="A9352"/>
    </row>
    <row r="9353" spans="1:1" ht="18.75" customHeight="1">
      <c r="A9353"/>
    </row>
    <row r="9354" spans="1:1" ht="18.75" customHeight="1">
      <c r="A9354"/>
    </row>
    <row r="9355" spans="1:1" ht="18.75" customHeight="1">
      <c r="A9355"/>
    </row>
    <row r="9356" spans="1:1" ht="18.75" customHeight="1">
      <c r="A9356"/>
    </row>
    <row r="9357" spans="1:1" ht="18.75" customHeight="1">
      <c r="A9357"/>
    </row>
    <row r="9358" spans="1:1" ht="18.75" customHeight="1">
      <c r="A9358"/>
    </row>
    <row r="9359" spans="1:1" ht="18.75" customHeight="1">
      <c r="A9359"/>
    </row>
    <row r="9360" spans="1:1" ht="18.75" customHeight="1">
      <c r="A9360"/>
    </row>
    <row r="9361" spans="1:1" ht="18.75" customHeight="1">
      <c r="A9361"/>
    </row>
    <row r="9362" spans="1:1" ht="18.75" customHeight="1">
      <c r="A9362"/>
    </row>
    <row r="9363" spans="1:1" ht="18.75" customHeight="1">
      <c r="A9363"/>
    </row>
    <row r="9364" spans="1:1" ht="18.75" customHeight="1">
      <c r="A9364"/>
    </row>
    <row r="9365" spans="1:1" ht="18.75" customHeight="1">
      <c r="A9365"/>
    </row>
    <row r="9366" spans="1:1" ht="18.75" customHeight="1">
      <c r="A9366"/>
    </row>
    <row r="9367" spans="1:1" ht="18.75" customHeight="1">
      <c r="A9367"/>
    </row>
    <row r="9368" spans="1:1" ht="18.75" customHeight="1">
      <c r="A9368"/>
    </row>
    <row r="9369" spans="1:1" ht="18.75" customHeight="1">
      <c r="A9369"/>
    </row>
    <row r="9370" spans="1:1" ht="18.75" customHeight="1">
      <c r="A9370"/>
    </row>
    <row r="9371" spans="1:1" ht="18.75" customHeight="1">
      <c r="A9371"/>
    </row>
    <row r="9372" spans="1:1" ht="18.75" customHeight="1">
      <c r="A9372"/>
    </row>
    <row r="9373" spans="1:1" ht="18.75" customHeight="1">
      <c r="A9373"/>
    </row>
    <row r="9374" spans="1:1" ht="18.75" customHeight="1">
      <c r="A9374"/>
    </row>
    <row r="9375" spans="1:1" ht="18.75" customHeight="1">
      <c r="A9375"/>
    </row>
    <row r="9376" spans="1:1" ht="18.75" customHeight="1">
      <c r="A9376"/>
    </row>
    <row r="9377" spans="1:1" ht="18.75" customHeight="1">
      <c r="A9377"/>
    </row>
    <row r="9378" spans="1:1" ht="18.75" customHeight="1">
      <c r="A9378"/>
    </row>
    <row r="9379" spans="1:1" ht="18.75" customHeight="1">
      <c r="A9379"/>
    </row>
    <row r="9380" spans="1:1" ht="18.75" customHeight="1">
      <c r="A9380"/>
    </row>
    <row r="9381" spans="1:1" ht="18.75" customHeight="1">
      <c r="A9381"/>
    </row>
    <row r="9382" spans="1:1" ht="18.75" customHeight="1">
      <c r="A9382"/>
    </row>
    <row r="9383" spans="1:1" ht="18.75" customHeight="1">
      <c r="A9383"/>
    </row>
    <row r="9384" spans="1:1" ht="18.75" customHeight="1">
      <c r="A9384"/>
    </row>
    <row r="9385" spans="1:1" ht="18.75" customHeight="1">
      <c r="A9385"/>
    </row>
    <row r="9386" spans="1:1" ht="18.75" customHeight="1">
      <c r="A9386"/>
    </row>
    <row r="9387" spans="1:1" ht="18.75" customHeight="1">
      <c r="A9387"/>
    </row>
    <row r="9388" spans="1:1" ht="18.75" customHeight="1">
      <c r="A9388"/>
    </row>
    <row r="9389" spans="1:1" ht="18.75" customHeight="1">
      <c r="A9389"/>
    </row>
    <row r="9390" spans="1:1" ht="18.75" customHeight="1">
      <c r="A9390"/>
    </row>
    <row r="9391" spans="1:1" ht="18.75" customHeight="1">
      <c r="A9391"/>
    </row>
    <row r="9392" spans="1:1" ht="18.75" customHeight="1">
      <c r="A9392"/>
    </row>
    <row r="9393" spans="1:1" ht="18.75" customHeight="1">
      <c r="A9393"/>
    </row>
    <row r="9394" spans="1:1" ht="18.75" customHeight="1">
      <c r="A9394"/>
    </row>
    <row r="9395" spans="1:1" ht="18.75" customHeight="1">
      <c r="A9395"/>
    </row>
    <row r="9396" spans="1:1" ht="18.75" customHeight="1">
      <c r="A9396"/>
    </row>
    <row r="9397" spans="1:1" ht="18.75" customHeight="1">
      <c r="A9397"/>
    </row>
    <row r="9398" spans="1:1" ht="18.75" customHeight="1">
      <c r="A9398"/>
    </row>
    <row r="9399" spans="1:1" ht="18.75" customHeight="1">
      <c r="A9399"/>
    </row>
    <row r="9400" spans="1:1" ht="18.75" customHeight="1">
      <c r="A9400"/>
    </row>
    <row r="9401" spans="1:1" ht="18.75" customHeight="1">
      <c r="A9401"/>
    </row>
    <row r="9402" spans="1:1" ht="18.75" customHeight="1">
      <c r="A9402"/>
    </row>
    <row r="9403" spans="1:1" ht="18.75" customHeight="1">
      <c r="A9403"/>
    </row>
    <row r="9404" spans="1:1" ht="18.75" customHeight="1">
      <c r="A9404"/>
    </row>
    <row r="9405" spans="1:1" ht="18.75" customHeight="1">
      <c r="A9405"/>
    </row>
    <row r="9406" spans="1:1" ht="18.75" customHeight="1">
      <c r="A9406"/>
    </row>
    <row r="9407" spans="1:1" ht="18.75" customHeight="1">
      <c r="A9407"/>
    </row>
    <row r="9408" spans="1:1" ht="18.75" customHeight="1">
      <c r="A9408"/>
    </row>
    <row r="9409" spans="1:1" ht="18.75" customHeight="1">
      <c r="A9409"/>
    </row>
    <row r="9410" spans="1:1" ht="18.75" customHeight="1">
      <c r="A9410"/>
    </row>
    <row r="9411" spans="1:1" ht="18.75" customHeight="1">
      <c r="A9411"/>
    </row>
    <row r="9412" spans="1:1" ht="18.75" customHeight="1">
      <c r="A9412"/>
    </row>
    <row r="9413" spans="1:1" ht="18.75" customHeight="1">
      <c r="A9413"/>
    </row>
    <row r="9414" spans="1:1" ht="18.75" customHeight="1">
      <c r="A9414"/>
    </row>
    <row r="9415" spans="1:1" ht="18.75" customHeight="1">
      <c r="A9415"/>
    </row>
    <row r="9416" spans="1:1" ht="18.75" customHeight="1">
      <c r="A9416"/>
    </row>
    <row r="9417" spans="1:1" ht="18.75" customHeight="1">
      <c r="A9417"/>
    </row>
    <row r="9418" spans="1:1" ht="18.75" customHeight="1">
      <c r="A9418"/>
    </row>
    <row r="9419" spans="1:1" ht="18.75" customHeight="1">
      <c r="A9419"/>
    </row>
    <row r="9420" spans="1:1" ht="18.75" customHeight="1">
      <c r="A9420"/>
    </row>
    <row r="9421" spans="1:1" ht="18.75" customHeight="1">
      <c r="A9421"/>
    </row>
    <row r="9422" spans="1:1" ht="18.75" customHeight="1">
      <c r="A9422"/>
    </row>
    <row r="9423" spans="1:1" ht="18.75" customHeight="1">
      <c r="A9423"/>
    </row>
    <row r="9424" spans="1:1" ht="18.75" customHeight="1">
      <c r="A9424"/>
    </row>
    <row r="9425" spans="1:1" ht="18.75" customHeight="1">
      <c r="A9425"/>
    </row>
    <row r="9426" spans="1:1" ht="18.75" customHeight="1">
      <c r="A9426"/>
    </row>
    <row r="9427" spans="1:1" ht="18.75" customHeight="1">
      <c r="A9427"/>
    </row>
    <row r="9428" spans="1:1" ht="18.75" customHeight="1">
      <c r="A9428"/>
    </row>
    <row r="9429" spans="1:1" ht="18.75" customHeight="1">
      <c r="A9429"/>
    </row>
    <row r="9430" spans="1:1" ht="18.75" customHeight="1">
      <c r="A9430"/>
    </row>
    <row r="9431" spans="1:1" ht="18.75" customHeight="1">
      <c r="A9431"/>
    </row>
    <row r="9432" spans="1:1" ht="18.75" customHeight="1">
      <c r="A9432"/>
    </row>
    <row r="9433" spans="1:1" ht="18.75" customHeight="1">
      <c r="A9433"/>
    </row>
    <row r="9434" spans="1:1" ht="18.75" customHeight="1">
      <c r="A9434"/>
    </row>
    <row r="9435" spans="1:1" ht="18.75" customHeight="1">
      <c r="A9435"/>
    </row>
    <row r="9436" spans="1:1" ht="18.75" customHeight="1">
      <c r="A9436"/>
    </row>
    <row r="9437" spans="1:1" ht="18.75" customHeight="1">
      <c r="A9437"/>
    </row>
    <row r="9438" spans="1:1" ht="18.75" customHeight="1">
      <c r="A9438"/>
    </row>
    <row r="9439" spans="1:1" ht="18.75" customHeight="1">
      <c r="A9439"/>
    </row>
    <row r="9440" spans="1:1" ht="18.75" customHeight="1">
      <c r="A9440"/>
    </row>
    <row r="9441" spans="1:1" ht="18.75" customHeight="1">
      <c r="A9441"/>
    </row>
    <row r="9442" spans="1:1" ht="18.75" customHeight="1">
      <c r="A9442"/>
    </row>
    <row r="9443" spans="1:1" ht="18.75" customHeight="1">
      <c r="A9443"/>
    </row>
    <row r="9444" spans="1:1" ht="18.75" customHeight="1">
      <c r="A9444"/>
    </row>
    <row r="9445" spans="1:1" ht="18.75" customHeight="1">
      <c r="A9445"/>
    </row>
    <row r="9446" spans="1:1" ht="18.75" customHeight="1">
      <c r="A9446"/>
    </row>
    <row r="9447" spans="1:1" ht="18.75" customHeight="1">
      <c r="A9447"/>
    </row>
    <row r="9448" spans="1:1" ht="18.75" customHeight="1">
      <c r="A9448"/>
    </row>
    <row r="9449" spans="1:1" ht="18.75" customHeight="1">
      <c r="A9449"/>
    </row>
    <row r="9450" spans="1:1" ht="18.75" customHeight="1">
      <c r="A9450"/>
    </row>
    <row r="9451" spans="1:1" ht="18.75" customHeight="1">
      <c r="A9451"/>
    </row>
    <row r="9452" spans="1:1" ht="18.75" customHeight="1">
      <c r="A9452"/>
    </row>
    <row r="9453" spans="1:1" ht="18.75" customHeight="1">
      <c r="A9453"/>
    </row>
    <row r="9454" spans="1:1" ht="18.75" customHeight="1">
      <c r="A9454"/>
    </row>
    <row r="9455" spans="1:1" ht="18.75" customHeight="1">
      <c r="A9455"/>
    </row>
    <row r="9456" spans="1:1" ht="18.75" customHeight="1">
      <c r="A9456"/>
    </row>
    <row r="9457" spans="1:1" ht="18.75" customHeight="1">
      <c r="A9457"/>
    </row>
    <row r="9458" spans="1:1" ht="18.75" customHeight="1">
      <c r="A9458"/>
    </row>
    <row r="9459" spans="1:1" ht="18.75" customHeight="1">
      <c r="A9459"/>
    </row>
    <row r="9460" spans="1:1" ht="18.75" customHeight="1">
      <c r="A9460"/>
    </row>
    <row r="9461" spans="1:1" ht="18.75" customHeight="1">
      <c r="A9461"/>
    </row>
    <row r="9462" spans="1:1" ht="18.75" customHeight="1">
      <c r="A9462"/>
    </row>
    <row r="9463" spans="1:1" ht="18.75" customHeight="1">
      <c r="A9463"/>
    </row>
    <row r="9464" spans="1:1" ht="18.75" customHeight="1">
      <c r="A9464"/>
    </row>
    <row r="9465" spans="1:1" ht="18.75" customHeight="1">
      <c r="A9465"/>
    </row>
    <row r="9466" spans="1:1" ht="18.75" customHeight="1">
      <c r="A9466"/>
    </row>
    <row r="9467" spans="1:1" ht="18.75" customHeight="1">
      <c r="A9467"/>
    </row>
    <row r="9468" spans="1:1" ht="18.75" customHeight="1">
      <c r="A9468"/>
    </row>
    <row r="9469" spans="1:1" ht="18.75" customHeight="1">
      <c r="A9469"/>
    </row>
    <row r="9470" spans="1:1" ht="18.75" customHeight="1">
      <c r="A9470"/>
    </row>
    <row r="9471" spans="1:1" ht="18.75" customHeight="1">
      <c r="A9471"/>
    </row>
    <row r="9472" spans="1:1" ht="18.75" customHeight="1">
      <c r="A9472"/>
    </row>
    <row r="9473" spans="1:1" ht="18.75" customHeight="1">
      <c r="A9473"/>
    </row>
    <row r="9474" spans="1:1" ht="18.75" customHeight="1">
      <c r="A9474"/>
    </row>
    <row r="9475" spans="1:1" ht="18.75" customHeight="1">
      <c r="A9475"/>
    </row>
    <row r="9476" spans="1:1" ht="18.75" customHeight="1">
      <c r="A9476"/>
    </row>
    <row r="9477" spans="1:1" ht="18.75" customHeight="1">
      <c r="A9477"/>
    </row>
    <row r="9478" spans="1:1" ht="18.75" customHeight="1">
      <c r="A9478"/>
    </row>
    <row r="9479" spans="1:1" ht="18.75" customHeight="1">
      <c r="A9479"/>
    </row>
    <row r="9480" spans="1:1" ht="18.75" customHeight="1">
      <c r="A9480"/>
    </row>
    <row r="9481" spans="1:1" ht="18.75" customHeight="1">
      <c r="A9481"/>
    </row>
    <row r="9482" spans="1:1" ht="18.75" customHeight="1">
      <c r="A9482"/>
    </row>
    <row r="9483" spans="1:1" ht="18.75" customHeight="1">
      <c r="A9483"/>
    </row>
    <row r="9484" spans="1:1" ht="18.75" customHeight="1">
      <c r="A9484"/>
    </row>
    <row r="9485" spans="1:1" ht="18.75" customHeight="1">
      <c r="A9485"/>
    </row>
    <row r="9486" spans="1:1" ht="18.75" customHeight="1">
      <c r="A9486"/>
    </row>
    <row r="9487" spans="1:1" ht="18.75" customHeight="1">
      <c r="A9487"/>
    </row>
    <row r="9488" spans="1:1" ht="18.75" customHeight="1">
      <c r="A9488"/>
    </row>
    <row r="9489" spans="1:1" ht="18.75" customHeight="1">
      <c r="A9489"/>
    </row>
    <row r="9490" spans="1:1" ht="18.75" customHeight="1">
      <c r="A9490"/>
    </row>
    <row r="9491" spans="1:1" ht="18.75" customHeight="1">
      <c r="A9491"/>
    </row>
    <row r="9492" spans="1:1" ht="18.75" customHeight="1">
      <c r="A9492"/>
    </row>
    <row r="9493" spans="1:1" ht="18.75" customHeight="1">
      <c r="A9493"/>
    </row>
    <row r="9494" spans="1:1" ht="18.75" customHeight="1">
      <c r="A9494"/>
    </row>
    <row r="9495" spans="1:1" ht="18.75" customHeight="1">
      <c r="A9495"/>
    </row>
    <row r="9496" spans="1:1" ht="18.75" customHeight="1">
      <c r="A9496"/>
    </row>
    <row r="9497" spans="1:1" ht="18.75" customHeight="1">
      <c r="A9497"/>
    </row>
    <row r="9498" spans="1:1" ht="18.75" customHeight="1">
      <c r="A9498"/>
    </row>
    <row r="9499" spans="1:1" ht="18.75" customHeight="1">
      <c r="A9499"/>
    </row>
    <row r="9500" spans="1:1" ht="18.75" customHeight="1">
      <c r="A9500"/>
    </row>
    <row r="9501" spans="1:1" ht="18.75" customHeight="1">
      <c r="A9501"/>
    </row>
    <row r="9502" spans="1:1" ht="18.75" customHeight="1">
      <c r="A9502"/>
    </row>
    <row r="9503" spans="1:1" ht="18.75" customHeight="1">
      <c r="A9503"/>
    </row>
    <row r="9504" spans="1:1" ht="18.75" customHeight="1">
      <c r="A9504"/>
    </row>
    <row r="9505" spans="1:1" ht="18.75" customHeight="1">
      <c r="A9505"/>
    </row>
    <row r="9506" spans="1:1" ht="18.75" customHeight="1">
      <c r="A9506"/>
    </row>
    <row r="9507" spans="1:1" ht="18.75" customHeight="1">
      <c r="A9507"/>
    </row>
    <row r="9508" spans="1:1" ht="18.75" customHeight="1">
      <c r="A9508"/>
    </row>
    <row r="9509" spans="1:1" ht="18.75" customHeight="1">
      <c r="A9509"/>
    </row>
    <row r="9510" spans="1:1" ht="18.75" customHeight="1">
      <c r="A9510"/>
    </row>
    <row r="9511" spans="1:1" ht="18.75" customHeight="1">
      <c r="A9511"/>
    </row>
    <row r="9512" spans="1:1" ht="18.75" customHeight="1">
      <c r="A9512"/>
    </row>
    <row r="9513" spans="1:1" ht="18.75" customHeight="1">
      <c r="A9513"/>
    </row>
    <row r="9514" spans="1:1" ht="18.75" customHeight="1">
      <c r="A9514"/>
    </row>
    <row r="9515" spans="1:1" ht="18.75" customHeight="1">
      <c r="A9515"/>
    </row>
    <row r="9516" spans="1:1" ht="18.75" customHeight="1">
      <c r="A9516"/>
    </row>
    <row r="9517" spans="1:1" ht="18.75" customHeight="1">
      <c r="A9517"/>
    </row>
    <row r="9518" spans="1:1" ht="18.75" customHeight="1">
      <c r="A9518"/>
    </row>
    <row r="9519" spans="1:1" ht="18.75" customHeight="1">
      <c r="A9519"/>
    </row>
    <row r="9520" spans="1:1" ht="18.75" customHeight="1">
      <c r="A9520"/>
    </row>
    <row r="9521" spans="1:1" ht="18.75" customHeight="1">
      <c r="A9521"/>
    </row>
    <row r="9522" spans="1:1" ht="18.75" customHeight="1">
      <c r="A9522"/>
    </row>
    <row r="9523" spans="1:1" ht="18.75" customHeight="1">
      <c r="A9523"/>
    </row>
    <row r="9524" spans="1:1" ht="18.75" customHeight="1">
      <c r="A9524"/>
    </row>
    <row r="9525" spans="1:1" ht="18.75" customHeight="1">
      <c r="A9525"/>
    </row>
    <row r="9526" spans="1:1" ht="18.75" customHeight="1">
      <c r="A9526"/>
    </row>
    <row r="9527" spans="1:1" ht="18.75" customHeight="1">
      <c r="A9527"/>
    </row>
    <row r="9528" spans="1:1" ht="18.75" customHeight="1">
      <c r="A9528"/>
    </row>
    <row r="9529" spans="1:1" ht="18.75" customHeight="1">
      <c r="A9529"/>
    </row>
    <row r="9530" spans="1:1" ht="18.75" customHeight="1">
      <c r="A9530"/>
    </row>
    <row r="9531" spans="1:1" ht="18.75" customHeight="1">
      <c r="A9531"/>
    </row>
    <row r="9532" spans="1:1" ht="18.75" customHeight="1">
      <c r="A9532"/>
    </row>
    <row r="9533" spans="1:1" ht="18.75" customHeight="1">
      <c r="A9533"/>
    </row>
    <row r="9534" spans="1:1" ht="18.75" customHeight="1">
      <c r="A9534"/>
    </row>
    <row r="9535" spans="1:1" ht="18.75" customHeight="1">
      <c r="A9535"/>
    </row>
    <row r="9536" spans="1:1" ht="18.75" customHeight="1">
      <c r="A9536"/>
    </row>
    <row r="9537" spans="1:1" ht="18.75" customHeight="1">
      <c r="A9537"/>
    </row>
    <row r="9538" spans="1:1" ht="18.75" customHeight="1">
      <c r="A9538"/>
    </row>
    <row r="9539" spans="1:1" ht="18.75" customHeight="1">
      <c r="A9539"/>
    </row>
    <row r="9540" spans="1:1" ht="18.75" customHeight="1">
      <c r="A9540"/>
    </row>
    <row r="9541" spans="1:1" ht="18.75" customHeight="1">
      <c r="A9541"/>
    </row>
    <row r="9542" spans="1:1" ht="18.75" customHeight="1">
      <c r="A9542"/>
    </row>
    <row r="9543" spans="1:1" ht="18.75" customHeight="1">
      <c r="A9543"/>
    </row>
    <row r="9544" spans="1:1" ht="18.75" customHeight="1">
      <c r="A9544"/>
    </row>
    <row r="9545" spans="1:1" ht="18.75" customHeight="1">
      <c r="A9545"/>
    </row>
    <row r="9546" spans="1:1" ht="18.75" customHeight="1">
      <c r="A9546"/>
    </row>
    <row r="9547" spans="1:1" ht="18.75" customHeight="1">
      <c r="A9547"/>
    </row>
    <row r="9548" spans="1:1" ht="18.75" customHeight="1">
      <c r="A9548"/>
    </row>
    <row r="9549" spans="1:1" ht="18.75" customHeight="1">
      <c r="A9549"/>
    </row>
    <row r="9550" spans="1:1" ht="18.75" customHeight="1">
      <c r="A9550"/>
    </row>
    <row r="9551" spans="1:1" ht="18.75" customHeight="1">
      <c r="A9551"/>
    </row>
    <row r="9552" spans="1:1" ht="18.75" customHeight="1">
      <c r="A9552"/>
    </row>
    <row r="9553" spans="1:1" ht="18.75" customHeight="1">
      <c r="A9553"/>
    </row>
    <row r="9554" spans="1:1" ht="18.75" customHeight="1">
      <c r="A9554"/>
    </row>
    <row r="9555" spans="1:1" ht="18.75" customHeight="1">
      <c r="A9555"/>
    </row>
    <row r="9556" spans="1:1" ht="18.75" customHeight="1">
      <c r="A9556"/>
    </row>
    <row r="9557" spans="1:1" ht="18.75" customHeight="1">
      <c r="A9557"/>
    </row>
    <row r="9558" spans="1:1" ht="18.75" customHeight="1">
      <c r="A9558"/>
    </row>
    <row r="9559" spans="1:1" ht="18.75" customHeight="1">
      <c r="A9559"/>
    </row>
    <row r="9560" spans="1:1" ht="18.75" customHeight="1">
      <c r="A9560"/>
    </row>
    <row r="9561" spans="1:1" ht="18.75" customHeight="1">
      <c r="A9561"/>
    </row>
    <row r="9562" spans="1:1" ht="18.75" customHeight="1">
      <c r="A9562"/>
    </row>
    <row r="9563" spans="1:1" ht="18.75" customHeight="1">
      <c r="A9563"/>
    </row>
    <row r="9564" spans="1:1" ht="18.75" customHeight="1">
      <c r="A9564"/>
    </row>
    <row r="9565" spans="1:1" ht="18.75" customHeight="1">
      <c r="A9565"/>
    </row>
    <row r="9566" spans="1:1" ht="18.75" customHeight="1">
      <c r="A9566"/>
    </row>
    <row r="9567" spans="1:1" ht="18.75" customHeight="1">
      <c r="A9567"/>
    </row>
    <row r="9568" spans="1:1" ht="18.75" customHeight="1">
      <c r="A9568"/>
    </row>
    <row r="9569" spans="1:1" ht="18.75" customHeight="1">
      <c r="A9569"/>
    </row>
    <row r="9570" spans="1:1" ht="18.75" customHeight="1">
      <c r="A9570"/>
    </row>
    <row r="9571" spans="1:1" ht="18.75" customHeight="1">
      <c r="A9571"/>
    </row>
    <row r="9572" spans="1:1" ht="18.75" customHeight="1">
      <c r="A9572"/>
    </row>
    <row r="9573" spans="1:1" ht="18.75" customHeight="1">
      <c r="A9573"/>
    </row>
    <row r="9574" spans="1:1" ht="18.75" customHeight="1">
      <c r="A9574"/>
    </row>
    <row r="9575" spans="1:1" ht="18.75" customHeight="1">
      <c r="A9575"/>
    </row>
    <row r="9576" spans="1:1" ht="18.75" customHeight="1">
      <c r="A9576"/>
    </row>
    <row r="9577" spans="1:1" ht="18.75" customHeight="1">
      <c r="A9577"/>
    </row>
    <row r="9578" spans="1:1" ht="18.75" customHeight="1">
      <c r="A9578"/>
    </row>
    <row r="9579" spans="1:1" ht="18.75" customHeight="1">
      <c r="A9579"/>
    </row>
    <row r="9580" spans="1:1" ht="18.75" customHeight="1">
      <c r="A9580"/>
    </row>
    <row r="9581" spans="1:1" ht="18.75" customHeight="1">
      <c r="A9581"/>
    </row>
    <row r="9582" spans="1:1" ht="18.75" customHeight="1">
      <c r="A9582"/>
    </row>
    <row r="9583" spans="1:1" ht="18.75" customHeight="1">
      <c r="A9583"/>
    </row>
    <row r="9584" spans="1:1" ht="18.75" customHeight="1">
      <c r="A9584"/>
    </row>
    <row r="9585" spans="1:1" ht="18.75" customHeight="1">
      <c r="A9585"/>
    </row>
    <row r="9586" spans="1:1" ht="18.75" customHeight="1">
      <c r="A9586"/>
    </row>
    <row r="9587" spans="1:1" ht="18.75" customHeight="1">
      <c r="A9587"/>
    </row>
    <row r="9588" spans="1:1" ht="18.75" customHeight="1">
      <c r="A9588"/>
    </row>
    <row r="9589" spans="1:1" ht="18.75" customHeight="1">
      <c r="A9589"/>
    </row>
    <row r="9590" spans="1:1" ht="18.75" customHeight="1">
      <c r="A9590"/>
    </row>
    <row r="9591" spans="1:1" ht="18.75" customHeight="1">
      <c r="A9591"/>
    </row>
    <row r="9592" spans="1:1" ht="18.75" customHeight="1">
      <c r="A9592"/>
    </row>
    <row r="9593" spans="1:1" ht="18.75" customHeight="1">
      <c r="A9593"/>
    </row>
    <row r="9594" spans="1:1" ht="18.75" customHeight="1">
      <c r="A9594"/>
    </row>
    <row r="9595" spans="1:1" ht="18.75" customHeight="1">
      <c r="A9595"/>
    </row>
    <row r="9596" spans="1:1" ht="18.75" customHeight="1">
      <c r="A9596"/>
    </row>
    <row r="9597" spans="1:1" ht="18.75" customHeight="1">
      <c r="A9597"/>
    </row>
    <row r="9598" spans="1:1" ht="18.75" customHeight="1">
      <c r="A9598"/>
    </row>
    <row r="9599" spans="1:1" ht="18.75" customHeight="1">
      <c r="A9599"/>
    </row>
    <row r="9600" spans="1:1" ht="18.75" customHeight="1">
      <c r="A9600"/>
    </row>
    <row r="9601" spans="1:1" ht="18.75" customHeight="1">
      <c r="A9601"/>
    </row>
    <row r="9602" spans="1:1" ht="18.75" customHeight="1">
      <c r="A9602"/>
    </row>
    <row r="9603" spans="1:1" ht="18.75" customHeight="1">
      <c r="A9603"/>
    </row>
    <row r="9604" spans="1:1" ht="18.75" customHeight="1">
      <c r="A9604"/>
    </row>
    <row r="9605" spans="1:1" ht="18.75" customHeight="1">
      <c r="A9605"/>
    </row>
    <row r="9606" spans="1:1" ht="18.75" customHeight="1">
      <c r="A9606"/>
    </row>
    <row r="9607" spans="1:1" ht="18.75" customHeight="1">
      <c r="A9607"/>
    </row>
    <row r="9608" spans="1:1" ht="18.75" customHeight="1">
      <c r="A9608"/>
    </row>
    <row r="9609" spans="1:1" ht="18.75" customHeight="1">
      <c r="A9609"/>
    </row>
    <row r="9610" spans="1:1" ht="18.75" customHeight="1">
      <c r="A9610"/>
    </row>
    <row r="9611" spans="1:1" ht="18.75" customHeight="1">
      <c r="A9611"/>
    </row>
    <row r="9612" spans="1:1" ht="18.75" customHeight="1">
      <c r="A9612"/>
    </row>
    <row r="9613" spans="1:1" ht="18.75" customHeight="1">
      <c r="A9613"/>
    </row>
    <row r="9614" spans="1:1" ht="18.75" customHeight="1">
      <c r="A9614"/>
    </row>
    <row r="9615" spans="1:1" ht="18.75" customHeight="1">
      <c r="A9615"/>
    </row>
    <row r="9616" spans="1:1" ht="18.75" customHeight="1">
      <c r="A9616"/>
    </row>
    <row r="9617" spans="1:1" ht="18.75" customHeight="1">
      <c r="A9617"/>
    </row>
    <row r="9618" spans="1:1" ht="18.75" customHeight="1">
      <c r="A9618"/>
    </row>
    <row r="9619" spans="1:1" ht="18.75" customHeight="1">
      <c r="A9619"/>
    </row>
    <row r="9620" spans="1:1" ht="18.75" customHeight="1">
      <c r="A9620"/>
    </row>
    <row r="9621" spans="1:1" ht="18.75" customHeight="1">
      <c r="A9621"/>
    </row>
    <row r="9622" spans="1:1" ht="18.75" customHeight="1">
      <c r="A9622"/>
    </row>
    <row r="9623" spans="1:1" ht="18.75" customHeight="1">
      <c r="A9623"/>
    </row>
    <row r="9624" spans="1:1" ht="18.75" customHeight="1">
      <c r="A9624"/>
    </row>
    <row r="9625" spans="1:1" ht="18.75" customHeight="1">
      <c r="A9625"/>
    </row>
    <row r="9626" spans="1:1" ht="18.75" customHeight="1">
      <c r="A9626"/>
    </row>
    <row r="9627" spans="1:1" ht="18.75" customHeight="1">
      <c r="A9627"/>
    </row>
    <row r="9628" spans="1:1" ht="18.75" customHeight="1">
      <c r="A9628"/>
    </row>
    <row r="9629" spans="1:1" ht="18.75" customHeight="1">
      <c r="A9629"/>
    </row>
    <row r="9630" spans="1:1" ht="18.75" customHeight="1">
      <c r="A9630"/>
    </row>
    <row r="9631" spans="1:1" ht="18.75" customHeight="1">
      <c r="A9631"/>
    </row>
    <row r="9632" spans="1:1" ht="18.75" customHeight="1">
      <c r="A9632"/>
    </row>
    <row r="9633" spans="1:1" ht="18.75" customHeight="1">
      <c r="A9633"/>
    </row>
    <row r="9634" spans="1:1" ht="18.75" customHeight="1">
      <c r="A9634"/>
    </row>
    <row r="9635" spans="1:1" ht="18.75" customHeight="1">
      <c r="A9635"/>
    </row>
    <row r="9636" spans="1:1" ht="18.75" customHeight="1">
      <c r="A9636"/>
    </row>
    <row r="9637" spans="1:1" ht="18.75" customHeight="1">
      <c r="A9637"/>
    </row>
    <row r="9638" spans="1:1" ht="18.75" customHeight="1">
      <c r="A9638"/>
    </row>
    <row r="9639" spans="1:1" ht="18.75" customHeight="1">
      <c r="A9639"/>
    </row>
    <row r="9640" spans="1:1" ht="18.75" customHeight="1">
      <c r="A9640"/>
    </row>
    <row r="9641" spans="1:1" ht="18.75" customHeight="1">
      <c r="A9641"/>
    </row>
    <row r="9642" spans="1:1" ht="18.75" customHeight="1">
      <c r="A9642"/>
    </row>
    <row r="9643" spans="1:1" ht="18.75" customHeight="1">
      <c r="A9643"/>
    </row>
    <row r="9644" spans="1:1" ht="18.75" customHeight="1">
      <c r="A9644"/>
    </row>
    <row r="9645" spans="1:1" ht="18.75" customHeight="1">
      <c r="A9645"/>
    </row>
    <row r="9646" spans="1:1" ht="18.75" customHeight="1">
      <c r="A9646"/>
    </row>
    <row r="9647" spans="1:1" ht="18.75" customHeight="1">
      <c r="A9647"/>
    </row>
    <row r="9648" spans="1:1" ht="18.75" customHeight="1">
      <c r="A9648"/>
    </row>
    <row r="9649" spans="1:1" ht="18.75" customHeight="1">
      <c r="A9649"/>
    </row>
    <row r="9650" spans="1:1" ht="18.75" customHeight="1">
      <c r="A9650"/>
    </row>
    <row r="9651" spans="1:1" ht="18.75" customHeight="1">
      <c r="A9651"/>
    </row>
    <row r="9652" spans="1:1" ht="18.75" customHeight="1">
      <c r="A9652"/>
    </row>
    <row r="9653" spans="1:1" ht="18.75" customHeight="1">
      <c r="A9653"/>
    </row>
    <row r="9654" spans="1:1" ht="18.75" customHeight="1">
      <c r="A9654"/>
    </row>
    <row r="9655" spans="1:1" ht="18.75" customHeight="1">
      <c r="A9655"/>
    </row>
    <row r="9656" spans="1:1" ht="18.75" customHeight="1">
      <c r="A9656"/>
    </row>
    <row r="9657" spans="1:1" ht="18.75" customHeight="1">
      <c r="A9657"/>
    </row>
    <row r="9658" spans="1:1" ht="18.75" customHeight="1">
      <c r="A9658"/>
    </row>
    <row r="9659" spans="1:1" ht="18.75" customHeight="1">
      <c r="A9659"/>
    </row>
    <row r="9660" spans="1:1" ht="18.75" customHeight="1">
      <c r="A9660"/>
    </row>
    <row r="9661" spans="1:1" ht="18.75" customHeight="1">
      <c r="A9661"/>
    </row>
    <row r="9662" spans="1:1" ht="18.75" customHeight="1">
      <c r="A9662"/>
    </row>
    <row r="9663" spans="1:1" ht="18.75" customHeight="1">
      <c r="A9663"/>
    </row>
    <row r="9664" spans="1:1" ht="18.75" customHeight="1">
      <c r="A9664"/>
    </row>
    <row r="9665" spans="1:1" ht="18.75" customHeight="1">
      <c r="A9665"/>
    </row>
    <row r="9666" spans="1:1" ht="18.75" customHeight="1">
      <c r="A9666"/>
    </row>
    <row r="9667" spans="1:1" ht="18.75" customHeight="1">
      <c r="A9667"/>
    </row>
    <row r="9668" spans="1:1" ht="18.75" customHeight="1">
      <c r="A9668"/>
    </row>
    <row r="9669" spans="1:1" ht="18.75" customHeight="1">
      <c r="A9669"/>
    </row>
    <row r="9670" spans="1:1" ht="18.75" customHeight="1">
      <c r="A9670"/>
    </row>
    <row r="9671" spans="1:1" ht="18.75" customHeight="1">
      <c r="A9671"/>
    </row>
    <row r="9672" spans="1:1" ht="18.75" customHeight="1">
      <c r="A9672"/>
    </row>
    <row r="9673" spans="1:1" ht="18.75" customHeight="1">
      <c r="A9673"/>
    </row>
    <row r="9674" spans="1:1" ht="18.75" customHeight="1">
      <c r="A9674"/>
    </row>
    <row r="9675" spans="1:1" ht="18.75" customHeight="1">
      <c r="A9675"/>
    </row>
    <row r="9676" spans="1:1" ht="18.75" customHeight="1">
      <c r="A9676"/>
    </row>
    <row r="9677" spans="1:1" ht="18.75" customHeight="1">
      <c r="A9677"/>
    </row>
    <row r="9678" spans="1:1" ht="18.75" customHeight="1">
      <c r="A9678"/>
    </row>
    <row r="9679" spans="1:1" ht="18.75" customHeight="1">
      <c r="A9679"/>
    </row>
    <row r="9680" spans="1:1" ht="18.75" customHeight="1">
      <c r="A9680"/>
    </row>
    <row r="9681" spans="1:1" ht="18.75" customHeight="1">
      <c r="A9681"/>
    </row>
    <row r="9682" spans="1:1" ht="18.75" customHeight="1">
      <c r="A9682"/>
    </row>
    <row r="9683" spans="1:1" ht="18.75" customHeight="1">
      <c r="A9683"/>
    </row>
    <row r="9684" spans="1:1" ht="18.75" customHeight="1">
      <c r="A9684"/>
    </row>
    <row r="9685" spans="1:1" ht="18.75" customHeight="1">
      <c r="A9685"/>
    </row>
    <row r="9686" spans="1:1" ht="18.75" customHeight="1">
      <c r="A9686"/>
    </row>
    <row r="9687" spans="1:1" ht="18.75" customHeight="1">
      <c r="A9687"/>
    </row>
    <row r="9688" spans="1:1" ht="18.75" customHeight="1">
      <c r="A9688"/>
    </row>
    <row r="9689" spans="1:1" ht="18.75" customHeight="1">
      <c r="A9689"/>
    </row>
    <row r="9690" spans="1:1" ht="18.75" customHeight="1">
      <c r="A9690"/>
    </row>
    <row r="9691" spans="1:1" ht="18.75" customHeight="1">
      <c r="A9691"/>
    </row>
    <row r="9692" spans="1:1" ht="18.75" customHeight="1">
      <c r="A9692"/>
    </row>
    <row r="9693" spans="1:1" ht="18.75" customHeight="1">
      <c r="A9693"/>
    </row>
    <row r="9694" spans="1:1" ht="18.75" customHeight="1">
      <c r="A9694"/>
    </row>
    <row r="9695" spans="1:1" ht="18.75" customHeight="1">
      <c r="A9695"/>
    </row>
    <row r="9696" spans="1:1" ht="18.75" customHeight="1">
      <c r="A9696"/>
    </row>
    <row r="9697" spans="1:1" ht="18.75" customHeight="1">
      <c r="A9697"/>
    </row>
    <row r="9698" spans="1:1" ht="18.75" customHeight="1">
      <c r="A9698"/>
    </row>
    <row r="9699" spans="1:1" ht="18.75" customHeight="1">
      <c r="A9699"/>
    </row>
    <row r="9700" spans="1:1" ht="18.75" customHeight="1">
      <c r="A9700"/>
    </row>
    <row r="9701" spans="1:1" ht="18.75" customHeight="1">
      <c r="A9701"/>
    </row>
    <row r="9702" spans="1:1" ht="18.75" customHeight="1">
      <c r="A9702"/>
    </row>
    <row r="9703" spans="1:1" ht="18.75" customHeight="1">
      <c r="A9703"/>
    </row>
    <row r="9704" spans="1:1" ht="18.75" customHeight="1">
      <c r="A9704"/>
    </row>
    <row r="9705" spans="1:1" ht="18.75" customHeight="1">
      <c r="A9705"/>
    </row>
    <row r="9706" spans="1:1" ht="18.75" customHeight="1">
      <c r="A9706"/>
    </row>
    <row r="9707" spans="1:1" ht="18.75" customHeight="1">
      <c r="A9707"/>
    </row>
    <row r="9708" spans="1:1" ht="18.75" customHeight="1">
      <c r="A9708"/>
    </row>
    <row r="9709" spans="1:1" ht="18.75" customHeight="1">
      <c r="A9709"/>
    </row>
    <row r="9710" spans="1:1" ht="18.75" customHeight="1">
      <c r="A9710"/>
    </row>
    <row r="9711" spans="1:1" ht="18.75" customHeight="1">
      <c r="A9711"/>
    </row>
    <row r="9712" spans="1:1" ht="18.75" customHeight="1">
      <c r="A9712"/>
    </row>
    <row r="9713" spans="1:1" ht="18.75" customHeight="1">
      <c r="A9713"/>
    </row>
    <row r="9714" spans="1:1" ht="18.75" customHeight="1">
      <c r="A9714"/>
    </row>
    <row r="9715" spans="1:1" ht="18.75" customHeight="1">
      <c r="A9715"/>
    </row>
    <row r="9716" spans="1:1" ht="18.75" customHeight="1">
      <c r="A9716"/>
    </row>
    <row r="9717" spans="1:1" ht="18.75" customHeight="1">
      <c r="A9717"/>
    </row>
    <row r="9718" spans="1:1" ht="18.75" customHeight="1">
      <c r="A9718"/>
    </row>
    <row r="9719" spans="1:1" ht="18.75" customHeight="1">
      <c r="A9719"/>
    </row>
    <row r="9720" spans="1:1" ht="18.75" customHeight="1">
      <c r="A9720"/>
    </row>
    <row r="9721" spans="1:1" ht="18.75" customHeight="1">
      <c r="A9721"/>
    </row>
    <row r="9722" spans="1:1" ht="18.75" customHeight="1">
      <c r="A9722"/>
    </row>
    <row r="9723" spans="1:1" ht="18.75" customHeight="1">
      <c r="A9723"/>
    </row>
    <row r="9724" spans="1:1" ht="18.75" customHeight="1">
      <c r="A9724"/>
    </row>
    <row r="9725" spans="1:1" ht="18.75" customHeight="1">
      <c r="A9725"/>
    </row>
    <row r="9726" spans="1:1" ht="18.75" customHeight="1">
      <c r="A9726"/>
    </row>
    <row r="9727" spans="1:1" ht="18.75" customHeight="1">
      <c r="A9727"/>
    </row>
    <row r="9728" spans="1:1" ht="18.75" customHeight="1">
      <c r="A9728"/>
    </row>
    <row r="9729" spans="1:1" ht="18.75" customHeight="1">
      <c r="A9729"/>
    </row>
    <row r="9730" spans="1:1" ht="18.75" customHeight="1">
      <c r="A9730"/>
    </row>
    <row r="9731" spans="1:1" ht="18.75" customHeight="1">
      <c r="A9731"/>
    </row>
    <row r="9732" spans="1:1" ht="18.75" customHeight="1">
      <c r="A9732"/>
    </row>
    <row r="9733" spans="1:1" ht="18.75" customHeight="1">
      <c r="A9733"/>
    </row>
    <row r="9734" spans="1:1" ht="18.75" customHeight="1">
      <c r="A9734"/>
    </row>
    <row r="9735" spans="1:1" ht="18.75" customHeight="1">
      <c r="A9735"/>
    </row>
    <row r="9736" spans="1:1" ht="18.75" customHeight="1">
      <c r="A9736"/>
    </row>
    <row r="9737" spans="1:1" ht="18.75" customHeight="1">
      <c r="A9737"/>
    </row>
    <row r="9738" spans="1:1" ht="18.75" customHeight="1">
      <c r="A9738"/>
    </row>
    <row r="9739" spans="1:1" ht="18.75" customHeight="1">
      <c r="A9739"/>
    </row>
    <row r="9740" spans="1:1" ht="18.75" customHeight="1">
      <c r="A9740"/>
    </row>
    <row r="9741" spans="1:1" ht="18.75" customHeight="1">
      <c r="A9741"/>
    </row>
    <row r="9742" spans="1:1" ht="18.75" customHeight="1">
      <c r="A9742"/>
    </row>
    <row r="9743" spans="1:1" ht="18.75" customHeight="1">
      <c r="A9743"/>
    </row>
    <row r="9744" spans="1:1" ht="18.75" customHeight="1">
      <c r="A9744"/>
    </row>
    <row r="9745" spans="1:1" ht="18.75" customHeight="1">
      <c r="A9745"/>
    </row>
    <row r="9746" spans="1:1" ht="18.75" customHeight="1">
      <c r="A9746"/>
    </row>
    <row r="9747" spans="1:1" ht="18.75" customHeight="1">
      <c r="A9747"/>
    </row>
    <row r="9748" spans="1:1" ht="18.75" customHeight="1">
      <c r="A9748"/>
    </row>
    <row r="9749" spans="1:1" ht="18.75" customHeight="1">
      <c r="A9749"/>
    </row>
    <row r="9750" spans="1:1" ht="18.75" customHeight="1">
      <c r="A9750"/>
    </row>
    <row r="9751" spans="1:1" ht="18.75" customHeight="1">
      <c r="A9751"/>
    </row>
    <row r="9752" spans="1:1" ht="18.75" customHeight="1">
      <c r="A9752"/>
    </row>
    <row r="9753" spans="1:1" ht="18.75" customHeight="1">
      <c r="A9753"/>
    </row>
    <row r="9754" spans="1:1" ht="18.75" customHeight="1">
      <c r="A9754"/>
    </row>
    <row r="9755" spans="1:1" ht="18.75" customHeight="1">
      <c r="A9755"/>
    </row>
    <row r="9756" spans="1:1" ht="18.75" customHeight="1">
      <c r="A9756"/>
    </row>
    <row r="9757" spans="1:1" ht="18.75" customHeight="1">
      <c r="A9757"/>
    </row>
    <row r="9758" spans="1:1" ht="18.75" customHeight="1">
      <c r="A9758"/>
    </row>
    <row r="9759" spans="1:1" ht="18.75" customHeight="1">
      <c r="A9759"/>
    </row>
    <row r="9760" spans="1:1" ht="18.75" customHeight="1">
      <c r="A9760"/>
    </row>
    <row r="9761" spans="1:1" ht="18.75" customHeight="1">
      <c r="A9761"/>
    </row>
    <row r="9762" spans="1:1" ht="18.75" customHeight="1">
      <c r="A9762"/>
    </row>
    <row r="9763" spans="1:1" ht="18.75" customHeight="1">
      <c r="A9763"/>
    </row>
    <row r="9764" spans="1:1" ht="18.75" customHeight="1">
      <c r="A9764"/>
    </row>
    <row r="9765" spans="1:1" ht="18.75" customHeight="1">
      <c r="A9765"/>
    </row>
    <row r="9766" spans="1:1" ht="18.75" customHeight="1">
      <c r="A9766"/>
    </row>
    <row r="9767" spans="1:1" ht="18.75" customHeight="1">
      <c r="A9767"/>
    </row>
    <row r="9768" spans="1:1" ht="18.75" customHeight="1">
      <c r="A9768"/>
    </row>
    <row r="9769" spans="1:1" ht="18.75" customHeight="1">
      <c r="A9769"/>
    </row>
    <row r="9770" spans="1:1" ht="18.75" customHeight="1">
      <c r="A9770"/>
    </row>
    <row r="9771" spans="1:1" ht="18.75" customHeight="1">
      <c r="A9771"/>
    </row>
    <row r="9772" spans="1:1" ht="18.75" customHeight="1">
      <c r="A9772"/>
    </row>
    <row r="9773" spans="1:1" ht="18.75" customHeight="1">
      <c r="A9773"/>
    </row>
    <row r="9774" spans="1:1" ht="18.75" customHeight="1">
      <c r="A9774"/>
    </row>
    <row r="9775" spans="1:1" ht="18.75" customHeight="1">
      <c r="A9775"/>
    </row>
    <row r="9776" spans="1:1" ht="18.75" customHeight="1">
      <c r="A9776"/>
    </row>
    <row r="9777" spans="1:1" ht="18.75" customHeight="1">
      <c r="A9777"/>
    </row>
    <row r="9778" spans="1:1" ht="18.75" customHeight="1">
      <c r="A9778"/>
    </row>
    <row r="9779" spans="1:1" ht="18.75" customHeight="1">
      <c r="A9779"/>
    </row>
    <row r="9780" spans="1:1" ht="18.75" customHeight="1">
      <c r="A9780"/>
    </row>
    <row r="9781" spans="1:1" ht="18.75" customHeight="1">
      <c r="A9781"/>
    </row>
    <row r="9782" spans="1:1" ht="18.75" customHeight="1">
      <c r="A9782"/>
    </row>
    <row r="9783" spans="1:1" ht="18.75" customHeight="1">
      <c r="A9783"/>
    </row>
    <row r="9784" spans="1:1" ht="18.75" customHeight="1">
      <c r="A9784"/>
    </row>
    <row r="9785" spans="1:1" ht="18.75" customHeight="1">
      <c r="A9785"/>
    </row>
    <row r="9786" spans="1:1" ht="18.75" customHeight="1">
      <c r="A9786"/>
    </row>
    <row r="9787" spans="1:1" ht="18.75" customHeight="1">
      <c r="A9787"/>
    </row>
    <row r="9788" spans="1:1" ht="18.75" customHeight="1">
      <c r="A9788"/>
    </row>
    <row r="9789" spans="1:1" ht="18.75" customHeight="1">
      <c r="A9789"/>
    </row>
    <row r="9790" spans="1:1" ht="18.75" customHeight="1">
      <c r="A9790"/>
    </row>
    <row r="9791" spans="1:1" ht="18.75" customHeight="1">
      <c r="A9791"/>
    </row>
    <row r="9792" spans="1:1" ht="18.75" customHeight="1">
      <c r="A9792"/>
    </row>
    <row r="9793" spans="1:1" ht="18.75" customHeight="1">
      <c r="A9793"/>
    </row>
    <row r="9794" spans="1:1" ht="18.75" customHeight="1">
      <c r="A9794"/>
    </row>
    <row r="9795" spans="1:1" ht="18.75" customHeight="1">
      <c r="A9795"/>
    </row>
    <row r="9796" spans="1:1" ht="18.75" customHeight="1">
      <c r="A9796"/>
    </row>
    <row r="9797" spans="1:1" ht="18.75" customHeight="1">
      <c r="A9797"/>
    </row>
    <row r="9798" spans="1:1" ht="18.75" customHeight="1">
      <c r="A9798"/>
    </row>
    <row r="9799" spans="1:1" ht="18.75" customHeight="1">
      <c r="A9799"/>
    </row>
    <row r="9800" spans="1:1" ht="18.75" customHeight="1">
      <c r="A9800"/>
    </row>
    <row r="9801" spans="1:1" ht="18.75" customHeight="1">
      <c r="A9801"/>
    </row>
    <row r="9802" spans="1:1" ht="18.75" customHeight="1">
      <c r="A9802"/>
    </row>
    <row r="9803" spans="1:1" ht="18.75" customHeight="1">
      <c r="A9803"/>
    </row>
    <row r="9804" spans="1:1" ht="18.75" customHeight="1">
      <c r="A9804"/>
    </row>
    <row r="9805" spans="1:1" ht="18.75" customHeight="1">
      <c r="A9805"/>
    </row>
    <row r="9806" spans="1:1" ht="18.75" customHeight="1">
      <c r="A9806"/>
    </row>
    <row r="9807" spans="1:1" ht="18.75" customHeight="1">
      <c r="A9807"/>
    </row>
    <row r="9808" spans="1:1" ht="18.75" customHeight="1">
      <c r="A9808"/>
    </row>
    <row r="9809" spans="1:1" ht="18.75" customHeight="1">
      <c r="A9809"/>
    </row>
    <row r="9810" spans="1:1" ht="18.75" customHeight="1">
      <c r="A9810"/>
    </row>
    <row r="9811" spans="1:1" ht="18.75" customHeight="1">
      <c r="A9811"/>
    </row>
    <row r="9812" spans="1:1" ht="18.75" customHeight="1">
      <c r="A9812"/>
    </row>
    <row r="9813" spans="1:1" ht="18.75" customHeight="1">
      <c r="A9813"/>
    </row>
    <row r="9814" spans="1:1" ht="18.75" customHeight="1">
      <c r="A9814"/>
    </row>
    <row r="9815" spans="1:1" ht="18.75" customHeight="1">
      <c r="A9815"/>
    </row>
    <row r="9816" spans="1:1" ht="18.75" customHeight="1">
      <c r="A9816"/>
    </row>
    <row r="9817" spans="1:1" ht="18.75" customHeight="1">
      <c r="A9817"/>
    </row>
    <row r="9818" spans="1:1" ht="18.75" customHeight="1">
      <c r="A9818"/>
    </row>
    <row r="9819" spans="1:1" ht="18.75" customHeight="1">
      <c r="A9819"/>
    </row>
    <row r="9820" spans="1:1" ht="18.75" customHeight="1">
      <c r="A9820"/>
    </row>
    <row r="9821" spans="1:1" ht="18.75" customHeight="1">
      <c r="A9821"/>
    </row>
    <row r="9822" spans="1:1" ht="18.75" customHeight="1">
      <c r="A9822"/>
    </row>
    <row r="9823" spans="1:1" ht="18.75" customHeight="1">
      <c r="A9823"/>
    </row>
    <row r="9824" spans="1:1" ht="18.75" customHeight="1">
      <c r="A9824"/>
    </row>
    <row r="9825" spans="1:1" ht="18.75" customHeight="1">
      <c r="A9825"/>
    </row>
    <row r="9826" spans="1:1" ht="18.75" customHeight="1">
      <c r="A9826"/>
    </row>
    <row r="9827" spans="1:1" ht="18.75" customHeight="1">
      <c r="A9827"/>
    </row>
    <row r="9828" spans="1:1" ht="18.75" customHeight="1">
      <c r="A9828"/>
    </row>
    <row r="9829" spans="1:1" ht="18.75" customHeight="1">
      <c r="A9829"/>
    </row>
    <row r="9830" spans="1:1" ht="18.75" customHeight="1">
      <c r="A9830"/>
    </row>
    <row r="9831" spans="1:1" ht="18.75" customHeight="1">
      <c r="A9831"/>
    </row>
    <row r="9832" spans="1:1" ht="18.75" customHeight="1">
      <c r="A9832"/>
    </row>
    <row r="9833" spans="1:1" ht="18.75" customHeight="1">
      <c r="A9833"/>
    </row>
    <row r="9834" spans="1:1" ht="18.75" customHeight="1">
      <c r="A9834"/>
    </row>
    <row r="9835" spans="1:1" ht="18.75" customHeight="1">
      <c r="A9835"/>
    </row>
    <row r="9836" spans="1:1" ht="18.75" customHeight="1">
      <c r="A9836"/>
    </row>
    <row r="9837" spans="1:1" ht="18.75" customHeight="1">
      <c r="A9837"/>
    </row>
    <row r="9838" spans="1:1" ht="18.75" customHeight="1">
      <c r="A9838"/>
    </row>
    <row r="9839" spans="1:1" ht="18.75" customHeight="1">
      <c r="A9839"/>
    </row>
    <row r="9840" spans="1:1" ht="18.75" customHeight="1">
      <c r="A9840"/>
    </row>
    <row r="9841" spans="1:1" ht="18.75" customHeight="1">
      <c r="A9841"/>
    </row>
    <row r="9842" spans="1:1" ht="18.75" customHeight="1">
      <c r="A9842"/>
    </row>
    <row r="9843" spans="1:1" ht="18.75" customHeight="1">
      <c r="A9843"/>
    </row>
    <row r="9844" spans="1:1" ht="18.75" customHeight="1">
      <c r="A9844"/>
    </row>
    <row r="9845" spans="1:1" ht="18.75" customHeight="1">
      <c r="A9845"/>
    </row>
    <row r="9846" spans="1:1" ht="18.75" customHeight="1">
      <c r="A9846"/>
    </row>
    <row r="9847" spans="1:1" ht="18.75" customHeight="1">
      <c r="A9847"/>
    </row>
    <row r="9848" spans="1:1" ht="18.75" customHeight="1">
      <c r="A9848"/>
    </row>
    <row r="9849" spans="1:1" ht="18.75" customHeight="1">
      <c r="A9849"/>
    </row>
    <row r="9850" spans="1:1" ht="18.75" customHeight="1">
      <c r="A9850"/>
    </row>
    <row r="9851" spans="1:1" ht="18.75" customHeight="1">
      <c r="A9851"/>
    </row>
    <row r="9852" spans="1:1" ht="18.75" customHeight="1">
      <c r="A9852"/>
    </row>
    <row r="9853" spans="1:1" ht="18.75" customHeight="1">
      <c r="A9853"/>
    </row>
    <row r="9854" spans="1:1" ht="18.75" customHeight="1">
      <c r="A9854"/>
    </row>
    <row r="9855" spans="1:1" ht="18.75" customHeight="1">
      <c r="A9855"/>
    </row>
    <row r="9856" spans="1:1" ht="18.75" customHeight="1">
      <c r="A9856"/>
    </row>
    <row r="9857" spans="1:1" ht="18.75" customHeight="1">
      <c r="A9857"/>
    </row>
    <row r="9858" spans="1:1" ht="18.75" customHeight="1">
      <c r="A9858"/>
    </row>
    <row r="9859" spans="1:1" ht="18.75" customHeight="1">
      <c r="A9859"/>
    </row>
    <row r="9860" spans="1:1" ht="18.75" customHeight="1">
      <c r="A9860"/>
    </row>
    <row r="9861" spans="1:1" ht="18.75" customHeight="1">
      <c r="A9861"/>
    </row>
    <row r="9862" spans="1:1" ht="18.75" customHeight="1">
      <c r="A9862"/>
    </row>
    <row r="9863" spans="1:1" ht="18.75" customHeight="1">
      <c r="A9863"/>
    </row>
    <row r="9864" spans="1:1" ht="18.75" customHeight="1">
      <c r="A9864"/>
    </row>
    <row r="9865" spans="1:1" ht="18.75" customHeight="1">
      <c r="A9865"/>
    </row>
    <row r="9866" spans="1:1" ht="18.75" customHeight="1">
      <c r="A9866"/>
    </row>
    <row r="9867" spans="1:1" ht="18.75" customHeight="1">
      <c r="A9867"/>
    </row>
    <row r="9868" spans="1:1" ht="18.75" customHeight="1">
      <c r="A9868"/>
    </row>
    <row r="9869" spans="1:1" ht="18.75" customHeight="1">
      <c r="A9869"/>
    </row>
    <row r="9870" spans="1:1" ht="18.75" customHeight="1">
      <c r="A9870"/>
    </row>
    <row r="9871" spans="1:1" ht="18.75" customHeight="1">
      <c r="A9871"/>
    </row>
    <row r="9872" spans="1:1" ht="18.75" customHeight="1">
      <c r="A9872"/>
    </row>
    <row r="9873" spans="1:1" ht="18.75" customHeight="1">
      <c r="A9873"/>
    </row>
    <row r="9874" spans="1:1" ht="18.75" customHeight="1">
      <c r="A9874"/>
    </row>
    <row r="9875" spans="1:1" ht="18.75" customHeight="1">
      <c r="A9875"/>
    </row>
    <row r="9876" spans="1:1" ht="18.75" customHeight="1">
      <c r="A9876"/>
    </row>
    <row r="9877" spans="1:1" ht="18.75" customHeight="1">
      <c r="A9877"/>
    </row>
    <row r="9878" spans="1:1" ht="18.75" customHeight="1">
      <c r="A9878"/>
    </row>
    <row r="9879" spans="1:1" ht="18.75" customHeight="1">
      <c r="A9879"/>
    </row>
    <row r="9880" spans="1:1" ht="18.75" customHeight="1">
      <c r="A9880"/>
    </row>
    <row r="9881" spans="1:1" ht="18.75" customHeight="1">
      <c r="A9881"/>
    </row>
    <row r="9882" spans="1:1" ht="18.75" customHeight="1">
      <c r="A9882"/>
    </row>
    <row r="9883" spans="1:1" ht="18.75" customHeight="1">
      <c r="A9883"/>
    </row>
    <row r="9884" spans="1:1" ht="18.75" customHeight="1">
      <c r="A9884"/>
    </row>
    <row r="9885" spans="1:1" ht="18.75" customHeight="1">
      <c r="A9885"/>
    </row>
    <row r="9886" spans="1:1" ht="18.75" customHeight="1">
      <c r="A9886"/>
    </row>
    <row r="9887" spans="1:1" ht="18.75" customHeight="1">
      <c r="A9887"/>
    </row>
    <row r="9888" spans="1:1" ht="18.75" customHeight="1">
      <c r="A9888"/>
    </row>
    <row r="9889" spans="1:1" ht="18.75" customHeight="1">
      <c r="A9889"/>
    </row>
    <row r="9890" spans="1:1" ht="18.75" customHeight="1">
      <c r="A9890"/>
    </row>
    <row r="9891" spans="1:1" ht="18.75" customHeight="1">
      <c r="A9891"/>
    </row>
    <row r="9892" spans="1:1" ht="18.75" customHeight="1">
      <c r="A9892"/>
    </row>
    <row r="9893" spans="1:1" ht="18.75" customHeight="1">
      <c r="A9893"/>
    </row>
    <row r="9894" spans="1:1" ht="18.75" customHeight="1">
      <c r="A9894"/>
    </row>
    <row r="9895" spans="1:1" ht="18.75" customHeight="1">
      <c r="A9895"/>
    </row>
    <row r="9896" spans="1:1" ht="18.75" customHeight="1">
      <c r="A9896"/>
    </row>
    <row r="9897" spans="1:1" ht="18.75" customHeight="1">
      <c r="A9897"/>
    </row>
    <row r="9898" spans="1:1" ht="18.75" customHeight="1">
      <c r="A9898"/>
    </row>
    <row r="9899" spans="1:1" ht="18.75" customHeight="1">
      <c r="A9899"/>
    </row>
    <row r="9900" spans="1:1" ht="18.75" customHeight="1">
      <c r="A9900"/>
    </row>
    <row r="9901" spans="1:1" ht="18.75" customHeight="1">
      <c r="A9901"/>
    </row>
    <row r="9902" spans="1:1" ht="18.75" customHeight="1">
      <c r="A9902"/>
    </row>
    <row r="9903" spans="1:1" ht="18.75" customHeight="1">
      <c r="A9903"/>
    </row>
    <row r="9904" spans="1:1" ht="18.75" customHeight="1">
      <c r="A9904"/>
    </row>
    <row r="9905" spans="1:1" ht="18.75" customHeight="1">
      <c r="A9905"/>
    </row>
    <row r="9906" spans="1:1" ht="18.75" customHeight="1">
      <c r="A9906"/>
    </row>
    <row r="9907" spans="1:1" ht="18.75" customHeight="1">
      <c r="A9907"/>
    </row>
    <row r="9908" spans="1:1" ht="18.75" customHeight="1">
      <c r="A9908"/>
    </row>
    <row r="9909" spans="1:1" ht="18.75" customHeight="1">
      <c r="A9909"/>
    </row>
    <row r="9910" spans="1:1" ht="18.75" customHeight="1">
      <c r="A9910"/>
    </row>
    <row r="9911" spans="1:1" ht="18.75" customHeight="1">
      <c r="A9911"/>
    </row>
    <row r="9912" spans="1:1" ht="18.75" customHeight="1">
      <c r="A9912"/>
    </row>
    <row r="9913" spans="1:1" ht="18.75" customHeight="1">
      <c r="A9913"/>
    </row>
    <row r="9914" spans="1:1" ht="18.75" customHeight="1">
      <c r="A9914"/>
    </row>
    <row r="9915" spans="1:1" ht="18.75" customHeight="1">
      <c r="A9915"/>
    </row>
    <row r="9916" spans="1:1" ht="18.75" customHeight="1">
      <c r="A9916"/>
    </row>
    <row r="9917" spans="1:1" ht="18.75" customHeight="1">
      <c r="A9917"/>
    </row>
    <row r="9918" spans="1:1" ht="18.75" customHeight="1">
      <c r="A9918"/>
    </row>
    <row r="9919" spans="1:1" ht="18.75" customHeight="1">
      <c r="A9919"/>
    </row>
    <row r="9920" spans="1:1" ht="18.75" customHeight="1">
      <c r="A9920"/>
    </row>
    <row r="9921" spans="1:1" ht="18.75" customHeight="1">
      <c r="A9921"/>
    </row>
    <row r="9922" spans="1:1" ht="18.75" customHeight="1">
      <c r="A9922"/>
    </row>
    <row r="9923" spans="1:1" ht="18.75" customHeight="1">
      <c r="A9923"/>
    </row>
    <row r="9924" spans="1:1" ht="18.75" customHeight="1">
      <c r="A9924"/>
    </row>
    <row r="9925" spans="1:1" ht="18.75" customHeight="1">
      <c r="A9925"/>
    </row>
    <row r="9926" spans="1:1" ht="18.75" customHeight="1">
      <c r="A9926"/>
    </row>
    <row r="9927" spans="1:1" ht="18.75" customHeight="1">
      <c r="A9927"/>
    </row>
    <row r="9928" spans="1:1" ht="18.75" customHeight="1">
      <c r="A9928"/>
    </row>
    <row r="9929" spans="1:1" ht="18.75" customHeight="1">
      <c r="A9929"/>
    </row>
    <row r="9930" spans="1:1" ht="18.75" customHeight="1">
      <c r="A9930"/>
    </row>
    <row r="9931" spans="1:1" ht="18.75" customHeight="1">
      <c r="A9931"/>
    </row>
    <row r="9932" spans="1:1" ht="18.75" customHeight="1">
      <c r="A9932"/>
    </row>
    <row r="9933" spans="1:1" ht="18.75" customHeight="1">
      <c r="A9933"/>
    </row>
    <row r="9934" spans="1:1" ht="18.75" customHeight="1">
      <c r="A9934"/>
    </row>
    <row r="9935" spans="1:1" ht="18.75" customHeight="1">
      <c r="A9935"/>
    </row>
    <row r="9936" spans="1:1" ht="18.75" customHeight="1">
      <c r="A9936"/>
    </row>
    <row r="9937" spans="1:1" ht="18.75" customHeight="1">
      <c r="A9937"/>
    </row>
    <row r="9938" spans="1:1" ht="18.75" customHeight="1">
      <c r="A9938"/>
    </row>
    <row r="9939" spans="1:1" ht="18.75" customHeight="1">
      <c r="A9939"/>
    </row>
    <row r="9940" spans="1:1" ht="18.75" customHeight="1">
      <c r="A9940"/>
    </row>
    <row r="9941" spans="1:1" ht="18.75" customHeight="1">
      <c r="A9941"/>
    </row>
    <row r="9942" spans="1:1" ht="18.75" customHeight="1">
      <c r="A9942"/>
    </row>
    <row r="9943" spans="1:1" ht="18.75" customHeight="1">
      <c r="A9943"/>
    </row>
    <row r="9944" spans="1:1" ht="18.75" customHeight="1">
      <c r="A9944"/>
    </row>
    <row r="9945" spans="1:1" ht="18.75" customHeight="1">
      <c r="A9945"/>
    </row>
    <row r="9946" spans="1:1" ht="18.75" customHeight="1">
      <c r="A9946"/>
    </row>
    <row r="9947" spans="1:1" ht="18.75" customHeight="1">
      <c r="A9947"/>
    </row>
    <row r="9948" spans="1:1" ht="18.75" customHeight="1">
      <c r="A9948"/>
    </row>
    <row r="9949" spans="1:1" ht="18.75" customHeight="1">
      <c r="A9949"/>
    </row>
    <row r="9950" spans="1:1" ht="18.75" customHeight="1">
      <c r="A9950"/>
    </row>
    <row r="9951" spans="1:1" ht="18.75" customHeight="1">
      <c r="A9951"/>
    </row>
    <row r="9952" spans="1:1" ht="18.75" customHeight="1">
      <c r="A9952"/>
    </row>
    <row r="9953" spans="1:1" ht="18.75" customHeight="1">
      <c r="A9953"/>
    </row>
    <row r="9954" spans="1:1" ht="18.75" customHeight="1">
      <c r="A9954"/>
    </row>
    <row r="9955" spans="1:1" ht="18.75" customHeight="1">
      <c r="A9955"/>
    </row>
    <row r="9956" spans="1:1" ht="18.75" customHeight="1">
      <c r="A9956"/>
    </row>
    <row r="9957" spans="1:1" ht="18.75" customHeight="1">
      <c r="A9957"/>
    </row>
    <row r="9958" spans="1:1" ht="18.75" customHeight="1">
      <c r="A9958"/>
    </row>
    <row r="9959" spans="1:1" ht="18.75" customHeight="1">
      <c r="A9959"/>
    </row>
    <row r="9960" spans="1:1" ht="18.75" customHeight="1">
      <c r="A9960"/>
    </row>
    <row r="9961" spans="1:1" ht="18.75" customHeight="1">
      <c r="A9961"/>
    </row>
    <row r="9962" spans="1:1" ht="18.75" customHeight="1">
      <c r="A9962"/>
    </row>
    <row r="9963" spans="1:1" ht="18.75" customHeight="1">
      <c r="A9963"/>
    </row>
    <row r="9964" spans="1:1" ht="18.75" customHeight="1">
      <c r="A9964"/>
    </row>
    <row r="9965" spans="1:1" ht="18.75" customHeight="1">
      <c r="A9965"/>
    </row>
    <row r="9966" spans="1:1" ht="18.75" customHeight="1">
      <c r="A9966"/>
    </row>
    <row r="9967" spans="1:1" ht="18.75" customHeight="1">
      <c r="A9967"/>
    </row>
    <row r="9968" spans="1:1" ht="18.75" customHeight="1">
      <c r="A9968"/>
    </row>
    <row r="9969" spans="1:1" ht="18.75" customHeight="1">
      <c r="A9969"/>
    </row>
    <row r="9970" spans="1:1" ht="18.75" customHeight="1">
      <c r="A9970"/>
    </row>
    <row r="9971" spans="1:1" ht="18.75" customHeight="1">
      <c r="A9971"/>
    </row>
    <row r="9972" spans="1:1" ht="18.75" customHeight="1">
      <c r="A9972"/>
    </row>
    <row r="9973" spans="1:1" ht="18.75" customHeight="1">
      <c r="A9973"/>
    </row>
    <row r="9974" spans="1:1" ht="18.75" customHeight="1">
      <c r="A9974"/>
    </row>
    <row r="9975" spans="1:1" ht="18.75" customHeight="1">
      <c r="A9975"/>
    </row>
    <row r="9976" spans="1:1" ht="18.75" customHeight="1">
      <c r="A9976"/>
    </row>
    <row r="9977" spans="1:1" ht="18.75" customHeight="1">
      <c r="A9977"/>
    </row>
    <row r="9978" spans="1:1" ht="18.75" customHeight="1">
      <c r="A9978"/>
    </row>
    <row r="9979" spans="1:1" ht="18.75" customHeight="1">
      <c r="A9979"/>
    </row>
    <row r="9980" spans="1:1" ht="18.75" customHeight="1">
      <c r="A9980"/>
    </row>
    <row r="9981" spans="1:1" ht="18.75" customHeight="1">
      <c r="A9981"/>
    </row>
    <row r="9982" spans="1:1" ht="18.75" customHeight="1">
      <c r="A9982"/>
    </row>
    <row r="9983" spans="1:1" ht="18.75" customHeight="1">
      <c r="A9983"/>
    </row>
    <row r="9984" spans="1:1" ht="18.75" customHeight="1">
      <c r="A9984"/>
    </row>
    <row r="9985" spans="1:1" ht="18.75" customHeight="1">
      <c r="A9985"/>
    </row>
    <row r="9986" spans="1:1" ht="18.75" customHeight="1">
      <c r="A9986"/>
    </row>
    <row r="9987" spans="1:1" ht="18.75" customHeight="1">
      <c r="A9987"/>
    </row>
    <row r="9988" spans="1:1" ht="18.75" customHeight="1">
      <c r="A9988"/>
    </row>
    <row r="9989" spans="1:1" ht="18.75" customHeight="1">
      <c r="A9989"/>
    </row>
    <row r="9990" spans="1:1" ht="18.75" customHeight="1">
      <c r="A9990"/>
    </row>
    <row r="9991" spans="1:1" ht="18.75" customHeight="1">
      <c r="A9991"/>
    </row>
    <row r="9992" spans="1:1" ht="18.75" customHeight="1">
      <c r="A9992"/>
    </row>
    <row r="9993" spans="1:1" ht="18.75" customHeight="1">
      <c r="A9993"/>
    </row>
    <row r="9994" spans="1:1" ht="18.75" customHeight="1">
      <c r="A9994"/>
    </row>
    <row r="9995" spans="1:1" ht="18.75" customHeight="1">
      <c r="A9995"/>
    </row>
    <row r="9996" spans="1:1" ht="18.75" customHeight="1">
      <c r="A9996"/>
    </row>
    <row r="9997" spans="1:1" ht="18.75" customHeight="1">
      <c r="A9997"/>
    </row>
    <row r="9998" spans="1:1" ht="18.75" customHeight="1">
      <c r="A9998"/>
    </row>
    <row r="9999" spans="1:1" ht="18.75" customHeight="1">
      <c r="A9999"/>
    </row>
    <row r="10000" spans="1:1" ht="18.75" customHeight="1">
      <c r="A10000"/>
    </row>
  </sheetData>
  <sortState xmlns:xlrd2="http://schemas.microsoft.com/office/spreadsheetml/2017/richdata2" ref="I2:R96">
    <sortCondition ref="I2"/>
  </sortState>
  <customSheetViews>
    <customSheetView guid="{1F94D349-39AA-4577-8915-6735D7B45D95}" scale="86">
      <selection activeCell="E18" sqref="E18"/>
      <pageMargins left="0.7" right="0.7" top="0.75" bottom="0.75" header="0.3" footer="0.3"/>
      <pageSetup paperSize="9" orientation="portrait" horizontalDpi="300" verticalDpi="300" r:id="rId1"/>
    </customSheetView>
  </customSheetViews>
  <mergeCells count="2">
    <mergeCell ref="G5:G6"/>
    <mergeCell ref="G7:G8"/>
  </mergeCells>
  <phoneticPr fontId="2"/>
  <conditionalFormatting sqref="L1">
    <cfRule type="containsText" dxfId="20" priority="3" operator="containsText" text="不足">
      <formula>NOT(ISERROR(SEARCH("不足",L1)))</formula>
    </cfRule>
    <cfRule type="containsText" dxfId="19" priority="4" operator="containsText" text="追加">
      <formula>NOT(ISERROR(SEARCH("追加",L1)))</formula>
    </cfRule>
  </conditionalFormatting>
  <conditionalFormatting sqref="B1 B10001:B1048576">
    <cfRule type="containsBlanks" dxfId="18" priority="2">
      <formula>LEN(TRIM(B1))=0</formula>
    </cfRule>
  </conditionalFormatting>
  <conditionalFormatting sqref="B1 B10001:B1048576">
    <cfRule type="containsBlanks" dxfId="17" priority="1">
      <formula>LEN(TRIM(B1))=0</formula>
    </cfRule>
  </conditionalFormatting>
  <hyperlinks>
    <hyperlink ref="T1" r:id="rId2" xr:uid="{B88468B7-05EC-4F3E-84D1-D515188CE7E0}"/>
    <hyperlink ref="T2" r:id="rId3" display="https://nskkogyo.sharepoint.com/:x:/s/DQ/EdBQcpZT269IkzLktQLBROEBpq0WfMrQU_pFGGK67mbHnw?e=oELTgg" xr:uid="{2BE26D13-7BF2-4152-A5E4-B45B6F0DD220}"/>
  </hyperlinks>
  <pageMargins left="0.7" right="0.7" top="0.75" bottom="0.75" header="0.3" footer="0.3"/>
  <pageSetup paperSize="9" orientation="portrait" horizontalDpi="300" verticalDpi="30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1" r:id="rId7" name="Button 5">
              <controlPr defaultSize="0" autoFill="0" autoPict="0" macro="[0]!Coloring">
                <anchor moveWithCells="1" sizeWithCells="1">
                  <from>
                    <xdr:col>6</xdr:col>
                    <xdr:colOff>9525</xdr:colOff>
                    <xdr:row>14</xdr:row>
                    <xdr:rowOff>47625</xdr:rowOff>
                  </from>
                  <to>
                    <xdr:col>6</xdr:col>
                    <xdr:colOff>3524250</xdr:colOff>
                    <xdr:row>17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8" name="Button 7">
              <controlPr defaultSize="0" autoFill="0" autoPict="0" macro="[0]!続きに貼り付ける">
                <anchor moveWithCells="1" sizeWithCells="1">
                  <from>
                    <xdr:col>6</xdr:col>
                    <xdr:colOff>9525</xdr:colOff>
                    <xdr:row>17</xdr:row>
                    <xdr:rowOff>114300</xdr:rowOff>
                  </from>
                  <to>
                    <xdr:col>6</xdr:col>
                    <xdr:colOff>3524250</xdr:colOff>
                    <xdr:row>20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9" name="Button 22">
              <controlPr defaultSize="0" print="0" autoFill="0" autoPict="0" macro="[0]!マスターデータ取込02">
                <anchor moveWithCells="1">
                  <from>
                    <xdr:col>6</xdr:col>
                    <xdr:colOff>9525</xdr:colOff>
                    <xdr:row>11</xdr:row>
                    <xdr:rowOff>28575</xdr:rowOff>
                  </from>
                  <to>
                    <xdr:col>7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3" r:id="rId10" name="Button 27">
              <controlPr defaultSize="0" autoFill="0" autoPict="0" macro="[0]!sortascend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676275</xdr:colOff>
                    <xdr:row>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11" name="Button 35">
              <controlPr defaultSize="0" print="0" autoFill="0" autoPict="0" macro="[0]!listcreation">
                <anchor moveWithCells="1" sizeWithCells="1">
                  <from>
                    <xdr:col>6</xdr:col>
                    <xdr:colOff>0</xdr:colOff>
                    <xdr:row>20</xdr:row>
                    <xdr:rowOff>180975</xdr:rowOff>
                  </from>
                  <to>
                    <xdr:col>6</xdr:col>
                    <xdr:colOff>3514725</xdr:colOff>
                    <xdr:row>24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3DD07C-2C32-4EC1-8104-3D60A55AF7FC}">
  <sheetPr codeName="Sheet6"/>
  <dimension ref="A1:B164"/>
  <sheetViews>
    <sheetView workbookViewId="0">
      <selection activeCell="G18" sqref="G18"/>
    </sheetView>
  </sheetViews>
  <sheetFormatPr defaultRowHeight="18.75"/>
  <cols>
    <col min="1" max="1" width="31.125" bestFit="1" customWidth="1"/>
    <col min="2" max="2" width="37.375" bestFit="1" customWidth="1"/>
  </cols>
  <sheetData>
    <row r="1" spans="1:2">
      <c r="A1" s="1" t="s">
        <v>391</v>
      </c>
      <c r="B1" s="33" t="s">
        <v>392</v>
      </c>
    </row>
    <row r="2" spans="1:2">
      <c r="A2" s="31" t="s">
        <v>288</v>
      </c>
      <c r="B2" s="31" t="s">
        <v>393</v>
      </c>
    </row>
    <row r="3" spans="1:2">
      <c r="A3" s="31" t="s">
        <v>289</v>
      </c>
      <c r="B3" s="31" t="s">
        <v>394</v>
      </c>
    </row>
    <row r="4" spans="1:2">
      <c r="A4" s="31" t="s">
        <v>395</v>
      </c>
      <c r="B4" s="31" t="s">
        <v>396</v>
      </c>
    </row>
    <row r="5" spans="1:2">
      <c r="A5" s="31" t="s">
        <v>290</v>
      </c>
      <c r="B5" s="31" t="s">
        <v>397</v>
      </c>
    </row>
    <row r="6" spans="1:2">
      <c r="A6" s="31" t="s">
        <v>280</v>
      </c>
      <c r="B6" s="31" t="s">
        <v>398</v>
      </c>
    </row>
    <row r="7" spans="1:2">
      <c r="A7" s="31" t="s">
        <v>291</v>
      </c>
      <c r="B7" s="31" t="s">
        <v>399</v>
      </c>
    </row>
    <row r="8" spans="1:2">
      <c r="A8" s="31" t="s">
        <v>292</v>
      </c>
      <c r="B8" s="31" t="s">
        <v>400</v>
      </c>
    </row>
    <row r="9" spans="1:2">
      <c r="A9" s="31" t="s">
        <v>25</v>
      </c>
      <c r="B9" s="31" t="s">
        <v>401</v>
      </c>
    </row>
    <row r="10" spans="1:2">
      <c r="A10" s="31" t="s">
        <v>293</v>
      </c>
      <c r="B10" s="31" t="s">
        <v>402</v>
      </c>
    </row>
    <row r="11" spans="1:2">
      <c r="A11" s="31" t="s">
        <v>403</v>
      </c>
      <c r="B11" s="31" t="s">
        <v>404</v>
      </c>
    </row>
    <row r="12" spans="1:2">
      <c r="A12" s="31" t="s">
        <v>295</v>
      </c>
      <c r="B12" s="31" t="s">
        <v>405</v>
      </c>
    </row>
    <row r="13" spans="1:2">
      <c r="A13" s="31" t="s">
        <v>296</v>
      </c>
      <c r="B13" s="31" t="s">
        <v>406</v>
      </c>
    </row>
    <row r="14" spans="1:2">
      <c r="A14" s="31" t="s">
        <v>297</v>
      </c>
      <c r="B14" s="31" t="s">
        <v>407</v>
      </c>
    </row>
    <row r="15" spans="1:2">
      <c r="A15" s="31" t="s">
        <v>298</v>
      </c>
      <c r="B15" s="31" t="s">
        <v>408</v>
      </c>
    </row>
    <row r="16" spans="1:2">
      <c r="A16" s="31" t="s">
        <v>299</v>
      </c>
      <c r="B16" s="31" t="s">
        <v>409</v>
      </c>
    </row>
    <row r="17" spans="1:2">
      <c r="A17" s="31" t="s">
        <v>300</v>
      </c>
      <c r="B17" s="31" t="s">
        <v>410</v>
      </c>
    </row>
    <row r="18" spans="1:2">
      <c r="A18" s="31" t="s">
        <v>411</v>
      </c>
      <c r="B18" s="31" t="s">
        <v>412</v>
      </c>
    </row>
    <row r="19" spans="1:2">
      <c r="A19" s="31" t="s">
        <v>301</v>
      </c>
      <c r="B19" s="31" t="s">
        <v>413</v>
      </c>
    </row>
    <row r="20" spans="1:2">
      <c r="A20" s="31" t="s">
        <v>302</v>
      </c>
      <c r="B20" s="31" t="s">
        <v>109</v>
      </c>
    </row>
    <row r="21" spans="1:2">
      <c r="A21" s="31" t="s">
        <v>303</v>
      </c>
      <c r="B21" s="31" t="s">
        <v>414</v>
      </c>
    </row>
    <row r="22" spans="1:2">
      <c r="A22" s="31" t="s">
        <v>415</v>
      </c>
      <c r="B22" s="31" t="s">
        <v>416</v>
      </c>
    </row>
    <row r="23" spans="1:2">
      <c r="A23" s="31" t="s">
        <v>304</v>
      </c>
      <c r="B23" s="31" t="s">
        <v>126</v>
      </c>
    </row>
    <row r="24" spans="1:2">
      <c r="A24" s="31" t="s">
        <v>417</v>
      </c>
      <c r="B24" s="31" t="s">
        <v>418</v>
      </c>
    </row>
    <row r="25" spans="1:2">
      <c r="A25" s="31" t="s">
        <v>419</v>
      </c>
      <c r="B25" s="31" t="s">
        <v>420</v>
      </c>
    </row>
    <row r="26" spans="1:2">
      <c r="A26" s="31" t="s">
        <v>307</v>
      </c>
      <c r="B26" s="31" t="s">
        <v>421</v>
      </c>
    </row>
    <row r="27" spans="1:2">
      <c r="A27" s="31" t="s">
        <v>233</v>
      </c>
      <c r="B27" s="31" t="s">
        <v>191</v>
      </c>
    </row>
    <row r="28" spans="1:2">
      <c r="A28" s="31" t="s">
        <v>422</v>
      </c>
      <c r="B28" s="31" t="s">
        <v>423</v>
      </c>
    </row>
    <row r="29" spans="1:2">
      <c r="A29" s="31" t="s">
        <v>309</v>
      </c>
      <c r="B29" s="31" t="s">
        <v>424</v>
      </c>
    </row>
    <row r="30" spans="1:2">
      <c r="A30" s="31" t="s">
        <v>310</v>
      </c>
      <c r="B30" s="31" t="s">
        <v>425</v>
      </c>
    </row>
    <row r="31" spans="1:2">
      <c r="A31" s="31" t="s">
        <v>426</v>
      </c>
      <c r="B31" s="31" t="s">
        <v>427</v>
      </c>
    </row>
    <row r="32" spans="1:2">
      <c r="A32" s="31" t="s">
        <v>311</v>
      </c>
      <c r="B32" s="31" t="s">
        <v>428</v>
      </c>
    </row>
    <row r="33" spans="1:2">
      <c r="A33" s="31" t="s">
        <v>312</v>
      </c>
      <c r="B33" s="31" t="s">
        <v>429</v>
      </c>
    </row>
    <row r="34" spans="1:2">
      <c r="A34" s="31" t="s">
        <v>313</v>
      </c>
      <c r="B34" s="31" t="s">
        <v>430</v>
      </c>
    </row>
    <row r="35" spans="1:2">
      <c r="A35" s="31" t="s">
        <v>255</v>
      </c>
      <c r="B35" s="31" t="s">
        <v>431</v>
      </c>
    </row>
    <row r="36" spans="1:2">
      <c r="A36" s="31" t="s">
        <v>314</v>
      </c>
      <c r="B36" s="31" t="s">
        <v>432</v>
      </c>
    </row>
    <row r="37" spans="1:2">
      <c r="A37" s="31" t="s">
        <v>315</v>
      </c>
      <c r="B37" s="31" t="s">
        <v>433</v>
      </c>
    </row>
    <row r="38" spans="1:2">
      <c r="A38" s="31" t="s">
        <v>316</v>
      </c>
      <c r="B38" s="31" t="s">
        <v>434</v>
      </c>
    </row>
    <row r="39" spans="1:2">
      <c r="A39" s="31" t="s">
        <v>50</v>
      </c>
      <c r="B39" s="31" t="s">
        <v>435</v>
      </c>
    </row>
    <row r="40" spans="1:2">
      <c r="A40" s="31" t="s">
        <v>317</v>
      </c>
      <c r="B40" s="31" t="s">
        <v>27</v>
      </c>
    </row>
    <row r="41" spans="1:2">
      <c r="A41" s="31" t="s">
        <v>318</v>
      </c>
      <c r="B41" s="31" t="s">
        <v>436</v>
      </c>
    </row>
    <row r="42" spans="1:2">
      <c r="A42" s="31" t="s">
        <v>319</v>
      </c>
      <c r="B42" s="31" t="s">
        <v>437</v>
      </c>
    </row>
    <row r="43" spans="1:2">
      <c r="A43" s="31" t="s">
        <v>320</v>
      </c>
      <c r="B43" s="31" t="s">
        <v>438</v>
      </c>
    </row>
    <row r="44" spans="1:2">
      <c r="A44" s="31" t="s">
        <v>321</v>
      </c>
      <c r="B44" s="31" t="s">
        <v>439</v>
      </c>
    </row>
    <row r="45" spans="1:2">
      <c r="A45" s="31" t="s">
        <v>322</v>
      </c>
      <c r="B45" s="31" t="s">
        <v>440</v>
      </c>
    </row>
    <row r="46" spans="1:2">
      <c r="A46" s="31" t="s">
        <v>323</v>
      </c>
      <c r="B46" s="31" t="s">
        <v>441</v>
      </c>
    </row>
    <row r="47" spans="1:2">
      <c r="A47" s="31" t="s">
        <v>108</v>
      </c>
      <c r="B47" s="31" t="s">
        <v>442</v>
      </c>
    </row>
    <row r="48" spans="1:2">
      <c r="A48" s="31" t="s">
        <v>324</v>
      </c>
      <c r="B48" s="31" t="s">
        <v>443</v>
      </c>
    </row>
    <row r="49" spans="1:2">
      <c r="A49" s="31" t="s">
        <v>325</v>
      </c>
      <c r="B49" s="31" t="s">
        <v>444</v>
      </c>
    </row>
    <row r="50" spans="1:2">
      <c r="A50" s="31" t="s">
        <v>326</v>
      </c>
      <c r="B50" s="31" t="s">
        <v>445</v>
      </c>
    </row>
    <row r="51" spans="1:2">
      <c r="A51" s="31" t="s">
        <v>327</v>
      </c>
      <c r="B51" s="31" t="s">
        <v>446</v>
      </c>
    </row>
    <row r="52" spans="1:2">
      <c r="A52" s="31" t="s">
        <v>286</v>
      </c>
      <c r="B52" s="31" t="s">
        <v>447</v>
      </c>
    </row>
    <row r="53" spans="1:2">
      <c r="A53" s="31" t="s">
        <v>328</v>
      </c>
      <c r="B53" s="31" t="s">
        <v>448</v>
      </c>
    </row>
    <row r="54" spans="1:2">
      <c r="A54" s="31" t="s">
        <v>329</v>
      </c>
      <c r="B54" s="31" t="s">
        <v>449</v>
      </c>
    </row>
    <row r="55" spans="1:2">
      <c r="A55" s="31" t="s">
        <v>330</v>
      </c>
      <c r="B55" s="31" t="s">
        <v>450</v>
      </c>
    </row>
    <row r="56" spans="1:2">
      <c r="A56" s="31" t="s">
        <v>331</v>
      </c>
      <c r="B56" s="31" t="s">
        <v>451</v>
      </c>
    </row>
    <row r="57" spans="1:2">
      <c r="A57" s="31" t="s">
        <v>332</v>
      </c>
      <c r="B57" s="31" t="s">
        <v>452</v>
      </c>
    </row>
    <row r="58" spans="1:2">
      <c r="A58" s="31" t="s">
        <v>333</v>
      </c>
      <c r="B58" s="31" t="s">
        <v>453</v>
      </c>
    </row>
    <row r="59" spans="1:2">
      <c r="A59" s="31" t="s">
        <v>284</v>
      </c>
      <c r="B59" s="31" t="s">
        <v>454</v>
      </c>
    </row>
    <row r="60" spans="1:2">
      <c r="A60" s="31" t="s">
        <v>334</v>
      </c>
      <c r="B60" s="31" t="s">
        <v>455</v>
      </c>
    </row>
    <row r="61" spans="1:2">
      <c r="A61" s="31" t="s">
        <v>335</v>
      </c>
      <c r="B61" s="31" t="s">
        <v>456</v>
      </c>
    </row>
    <row r="62" spans="1:2">
      <c r="A62" s="31" t="s">
        <v>336</v>
      </c>
      <c r="B62" s="31" t="s">
        <v>457</v>
      </c>
    </row>
    <row r="63" spans="1:2">
      <c r="A63" s="31" t="s">
        <v>337</v>
      </c>
      <c r="B63" s="31" t="s">
        <v>458</v>
      </c>
    </row>
    <row r="64" spans="1:2">
      <c r="A64" s="31" t="s">
        <v>338</v>
      </c>
      <c r="B64" s="31" t="s">
        <v>459</v>
      </c>
    </row>
    <row r="65" spans="1:2">
      <c r="A65" s="31" t="s">
        <v>339</v>
      </c>
      <c r="B65" s="31" t="s">
        <v>460</v>
      </c>
    </row>
    <row r="66" spans="1:2">
      <c r="A66" s="31" t="s">
        <v>340</v>
      </c>
      <c r="B66" s="31" t="s">
        <v>232</v>
      </c>
    </row>
    <row r="67" spans="1:2">
      <c r="A67" s="31" t="s">
        <v>341</v>
      </c>
      <c r="B67" s="31" t="s">
        <v>461</v>
      </c>
    </row>
    <row r="68" spans="1:2">
      <c r="A68" s="31" t="s">
        <v>342</v>
      </c>
      <c r="B68" s="31" t="s">
        <v>462</v>
      </c>
    </row>
    <row r="69" spans="1:2">
      <c r="A69" s="31" t="s">
        <v>343</v>
      </c>
      <c r="B69" s="31" t="s">
        <v>463</v>
      </c>
    </row>
    <row r="70" spans="1:2">
      <c r="A70" s="31" t="s">
        <v>344</v>
      </c>
      <c r="B70" s="31" t="s">
        <v>464</v>
      </c>
    </row>
    <row r="71" spans="1:2">
      <c r="A71" s="31" t="s">
        <v>465</v>
      </c>
      <c r="B71" s="31" t="s">
        <v>466</v>
      </c>
    </row>
    <row r="72" spans="1:2">
      <c r="A72" s="31" t="s">
        <v>345</v>
      </c>
      <c r="B72" s="31" t="s">
        <v>467</v>
      </c>
    </row>
    <row r="73" spans="1:2">
      <c r="A73" s="31" t="s">
        <v>222</v>
      </c>
      <c r="B73" s="31" t="s">
        <v>468</v>
      </c>
    </row>
    <row r="74" spans="1:2">
      <c r="A74" s="31" t="s">
        <v>346</v>
      </c>
      <c r="B74" s="31" t="s">
        <v>469</v>
      </c>
    </row>
    <row r="75" spans="1:2">
      <c r="A75" s="31" t="s">
        <v>470</v>
      </c>
      <c r="B75" s="31" t="s">
        <v>471</v>
      </c>
    </row>
    <row r="76" spans="1:2">
      <c r="A76" s="31" t="s">
        <v>347</v>
      </c>
      <c r="B76" s="31" t="s">
        <v>472</v>
      </c>
    </row>
    <row r="77" spans="1:2">
      <c r="A77" s="31" t="s">
        <v>348</v>
      </c>
      <c r="B77" s="31" t="s">
        <v>473</v>
      </c>
    </row>
    <row r="78" spans="1:2">
      <c r="A78" s="31" t="s">
        <v>349</v>
      </c>
      <c r="B78" s="31" t="s">
        <v>474</v>
      </c>
    </row>
    <row r="79" spans="1:2">
      <c r="A79" s="31" t="s">
        <v>350</v>
      </c>
      <c r="B79" s="31" t="s">
        <v>475</v>
      </c>
    </row>
    <row r="80" spans="1:2">
      <c r="A80" s="31" t="s">
        <v>181</v>
      </c>
      <c r="B80" s="31" t="s">
        <v>476</v>
      </c>
    </row>
    <row r="81" spans="1:2">
      <c r="A81" s="31" t="s">
        <v>351</v>
      </c>
      <c r="B81" s="31" t="s">
        <v>477</v>
      </c>
    </row>
    <row r="82" spans="1:2">
      <c r="A82" s="31" t="s">
        <v>67</v>
      </c>
      <c r="B82" s="31" t="s">
        <v>478</v>
      </c>
    </row>
    <row r="83" spans="1:2">
      <c r="A83" s="31" t="s">
        <v>189</v>
      </c>
      <c r="B83" s="31" t="s">
        <v>479</v>
      </c>
    </row>
    <row r="84" spans="1:2">
      <c r="A84" s="31" t="s">
        <v>352</v>
      </c>
      <c r="B84" s="31" t="s">
        <v>480</v>
      </c>
    </row>
    <row r="85" spans="1:2">
      <c r="A85" s="31" t="s">
        <v>353</v>
      </c>
      <c r="B85" s="31" t="s">
        <v>481</v>
      </c>
    </row>
    <row r="86" spans="1:2">
      <c r="A86" s="31" t="s">
        <v>354</v>
      </c>
      <c r="B86" s="31" t="s">
        <v>482</v>
      </c>
    </row>
    <row r="87" spans="1:2">
      <c r="A87" s="31" t="s">
        <v>355</v>
      </c>
      <c r="B87" s="31" t="s">
        <v>483</v>
      </c>
    </row>
    <row r="88" spans="1:2">
      <c r="A88" s="31" t="s">
        <v>356</v>
      </c>
      <c r="B88" s="31" t="s">
        <v>484</v>
      </c>
    </row>
    <row r="89" spans="1:2">
      <c r="A89" s="31" t="s">
        <v>357</v>
      </c>
      <c r="B89" s="31" t="s">
        <v>485</v>
      </c>
    </row>
    <row r="90" spans="1:2">
      <c r="A90" t="s">
        <v>283</v>
      </c>
      <c r="B90" s="31" t="s">
        <v>486</v>
      </c>
    </row>
    <row r="91" spans="1:2">
      <c r="A91" t="s">
        <v>49</v>
      </c>
      <c r="B91" s="31" t="s">
        <v>487</v>
      </c>
    </row>
    <row r="92" spans="1:2">
      <c r="A92" t="s">
        <v>358</v>
      </c>
      <c r="B92" s="31" t="s">
        <v>488</v>
      </c>
    </row>
    <row r="93" spans="1:2">
      <c r="A93" t="s">
        <v>359</v>
      </c>
      <c r="B93" s="31" t="s">
        <v>489</v>
      </c>
    </row>
    <row r="94" spans="1:2">
      <c r="A94" t="s">
        <v>360</v>
      </c>
      <c r="B94" s="31" t="s">
        <v>490</v>
      </c>
    </row>
    <row r="95" spans="1:2">
      <c r="A95" t="s">
        <v>361</v>
      </c>
      <c r="B95" s="31" t="s">
        <v>491</v>
      </c>
    </row>
    <row r="96" spans="1:2">
      <c r="A96" t="s">
        <v>362</v>
      </c>
      <c r="B96" s="31" t="s">
        <v>492</v>
      </c>
    </row>
    <row r="97" spans="1:2">
      <c r="A97" t="s">
        <v>363</v>
      </c>
      <c r="B97" s="31" t="s">
        <v>493</v>
      </c>
    </row>
    <row r="98" spans="1:2">
      <c r="A98" t="s">
        <v>364</v>
      </c>
      <c r="B98" s="31" t="s">
        <v>494</v>
      </c>
    </row>
    <row r="99" spans="1:2">
      <c r="A99" t="s">
        <v>365</v>
      </c>
      <c r="B99" s="31" t="s">
        <v>495</v>
      </c>
    </row>
    <row r="100" spans="1:2">
      <c r="A100" t="s">
        <v>287</v>
      </c>
      <c r="B100" s="31" t="s">
        <v>496</v>
      </c>
    </row>
    <row r="101" spans="1:2">
      <c r="A101" t="s">
        <v>366</v>
      </c>
      <c r="B101" s="31" t="s">
        <v>497</v>
      </c>
    </row>
    <row r="102" spans="1:2">
      <c r="A102" t="s">
        <v>367</v>
      </c>
      <c r="B102" s="31" t="s">
        <v>498</v>
      </c>
    </row>
    <row r="103" spans="1:2">
      <c r="A103" t="s">
        <v>368</v>
      </c>
      <c r="B103" s="31" t="s">
        <v>499</v>
      </c>
    </row>
    <row r="104" spans="1:2">
      <c r="A104" t="s">
        <v>369</v>
      </c>
      <c r="B104" s="31" t="s">
        <v>500</v>
      </c>
    </row>
    <row r="105" spans="1:2">
      <c r="A105" t="s">
        <v>370</v>
      </c>
      <c r="B105" s="31" t="s">
        <v>501</v>
      </c>
    </row>
    <row r="106" spans="1:2">
      <c r="A106" t="s">
        <v>371</v>
      </c>
      <c r="B106" s="31" t="s">
        <v>502</v>
      </c>
    </row>
    <row r="107" spans="1:2">
      <c r="A107" t="s">
        <v>372</v>
      </c>
      <c r="B107" s="31" t="s">
        <v>503</v>
      </c>
    </row>
    <row r="108" spans="1:2">
      <c r="A108" t="s">
        <v>504</v>
      </c>
      <c r="B108" s="31" t="s">
        <v>505</v>
      </c>
    </row>
    <row r="109" spans="1:2">
      <c r="A109" t="s">
        <v>506</v>
      </c>
      <c r="B109" s="31" t="s">
        <v>507</v>
      </c>
    </row>
    <row r="110" spans="1:2">
      <c r="A110" t="s">
        <v>34</v>
      </c>
      <c r="B110" s="31" t="s">
        <v>508</v>
      </c>
    </row>
    <row r="111" spans="1:2">
      <c r="A111" t="s">
        <v>509</v>
      </c>
      <c r="B111" s="31" t="s">
        <v>510</v>
      </c>
    </row>
    <row r="112" spans="1:2">
      <c r="A112" t="s">
        <v>285</v>
      </c>
      <c r="B112" s="31" t="s">
        <v>511</v>
      </c>
    </row>
    <row r="113" spans="1:2">
      <c r="A113" t="s">
        <v>512</v>
      </c>
      <c r="B113" s="31" t="s">
        <v>513</v>
      </c>
    </row>
    <row r="114" spans="1:2">
      <c r="A114" t="s">
        <v>514</v>
      </c>
      <c r="B114" s="31" t="s">
        <v>515</v>
      </c>
    </row>
    <row r="115" spans="1:2">
      <c r="A115" t="s">
        <v>379</v>
      </c>
      <c r="B115" s="31" t="s">
        <v>516</v>
      </c>
    </row>
    <row r="116" spans="1:2">
      <c r="A116" t="s">
        <v>517</v>
      </c>
      <c r="B116" s="31" t="s">
        <v>518</v>
      </c>
    </row>
    <row r="117" spans="1:2">
      <c r="A117" t="s">
        <v>519</v>
      </c>
      <c r="B117" s="31" t="s">
        <v>520</v>
      </c>
    </row>
    <row r="118" spans="1:2">
      <c r="A118" t="s">
        <v>521</v>
      </c>
      <c r="B118" s="31" t="s">
        <v>522</v>
      </c>
    </row>
    <row r="119" spans="1:2">
      <c r="A119" t="s">
        <v>523</v>
      </c>
      <c r="B119" s="31" t="s">
        <v>524</v>
      </c>
    </row>
    <row r="120" spans="1:2">
      <c r="A120" t="s">
        <v>525</v>
      </c>
      <c r="B120" s="31" t="s">
        <v>526</v>
      </c>
    </row>
    <row r="121" spans="1:2">
      <c r="A121" t="s">
        <v>527</v>
      </c>
      <c r="B121" s="31" t="s">
        <v>528</v>
      </c>
    </row>
    <row r="122" spans="1:2">
      <c r="A122" t="s">
        <v>529</v>
      </c>
      <c r="B122" s="31" t="s">
        <v>530</v>
      </c>
    </row>
    <row r="123" spans="1:2">
      <c r="A123" t="s">
        <v>531</v>
      </c>
      <c r="B123" s="31" t="s">
        <v>532</v>
      </c>
    </row>
    <row r="124" spans="1:2">
      <c r="A124" t="s">
        <v>533</v>
      </c>
      <c r="B124" s="31" t="s">
        <v>534</v>
      </c>
    </row>
    <row r="125" spans="1:2">
      <c r="A125" t="s">
        <v>535</v>
      </c>
      <c r="B125" s="31" t="s">
        <v>536</v>
      </c>
    </row>
    <row r="126" spans="1:2">
      <c r="A126" t="s">
        <v>537</v>
      </c>
      <c r="B126" s="31" t="s">
        <v>538</v>
      </c>
    </row>
    <row r="127" spans="1:2">
      <c r="A127" t="s">
        <v>512</v>
      </c>
      <c r="B127" s="31" t="s">
        <v>539</v>
      </c>
    </row>
    <row r="128" spans="1:2">
      <c r="A128" t="s">
        <v>540</v>
      </c>
      <c r="B128" s="31" t="s">
        <v>541</v>
      </c>
    </row>
    <row r="129" spans="2:2">
      <c r="B129" s="31" t="s">
        <v>542</v>
      </c>
    </row>
    <row r="130" spans="2:2">
      <c r="B130" s="31" t="s">
        <v>543</v>
      </c>
    </row>
    <row r="131" spans="2:2">
      <c r="B131" s="31" t="s">
        <v>544</v>
      </c>
    </row>
    <row r="132" spans="2:2">
      <c r="B132" s="31" t="s">
        <v>545</v>
      </c>
    </row>
    <row r="133" spans="2:2">
      <c r="B133" s="31" t="s">
        <v>546</v>
      </c>
    </row>
    <row r="134" spans="2:2">
      <c r="B134" s="31" t="s">
        <v>547</v>
      </c>
    </row>
    <row r="135" spans="2:2">
      <c r="B135" s="31" t="s">
        <v>548</v>
      </c>
    </row>
    <row r="136" spans="2:2">
      <c r="B136" s="31" t="s">
        <v>549</v>
      </c>
    </row>
    <row r="137" spans="2:2">
      <c r="B137" s="31" t="s">
        <v>550</v>
      </c>
    </row>
    <row r="138" spans="2:2">
      <c r="B138" s="31" t="s">
        <v>551</v>
      </c>
    </row>
    <row r="139" spans="2:2">
      <c r="B139" s="31" t="s">
        <v>552</v>
      </c>
    </row>
    <row r="140" spans="2:2">
      <c r="B140" s="31" t="s">
        <v>553</v>
      </c>
    </row>
    <row r="141" spans="2:2">
      <c r="B141" s="31" t="s">
        <v>554</v>
      </c>
    </row>
    <row r="142" spans="2:2">
      <c r="B142" s="31" t="s">
        <v>555</v>
      </c>
    </row>
    <row r="143" spans="2:2">
      <c r="B143" s="31" t="s">
        <v>556</v>
      </c>
    </row>
    <row r="144" spans="2:2">
      <c r="B144" s="31" t="s">
        <v>557</v>
      </c>
    </row>
    <row r="145" spans="2:2">
      <c r="B145" s="31" t="s">
        <v>558</v>
      </c>
    </row>
    <row r="146" spans="2:2">
      <c r="B146" s="31" t="s">
        <v>559</v>
      </c>
    </row>
    <row r="147" spans="2:2">
      <c r="B147" s="31" t="s">
        <v>560</v>
      </c>
    </row>
    <row r="148" spans="2:2">
      <c r="B148" s="31" t="s">
        <v>561</v>
      </c>
    </row>
    <row r="149" spans="2:2">
      <c r="B149" s="31" t="s">
        <v>562</v>
      </c>
    </row>
    <row r="150" spans="2:2">
      <c r="B150" s="31" t="s">
        <v>563</v>
      </c>
    </row>
    <row r="151" spans="2:2">
      <c r="B151" s="31" t="s">
        <v>564</v>
      </c>
    </row>
    <row r="152" spans="2:2">
      <c r="B152" s="31" t="s">
        <v>565</v>
      </c>
    </row>
    <row r="153" spans="2:2">
      <c r="B153" s="31" t="s">
        <v>566</v>
      </c>
    </row>
    <row r="154" spans="2:2">
      <c r="B154" s="31" t="s">
        <v>567</v>
      </c>
    </row>
    <row r="155" spans="2:2">
      <c r="B155" s="31" t="s">
        <v>568</v>
      </c>
    </row>
    <row r="156" spans="2:2">
      <c r="B156" s="31" t="s">
        <v>569</v>
      </c>
    </row>
    <row r="157" spans="2:2">
      <c r="B157" s="31" t="s">
        <v>570</v>
      </c>
    </row>
    <row r="158" spans="2:2">
      <c r="B158" s="31" t="s">
        <v>571</v>
      </c>
    </row>
    <row r="159" spans="2:2">
      <c r="B159" s="31" t="s">
        <v>572</v>
      </c>
    </row>
    <row r="160" spans="2:2">
      <c r="B160" s="31" t="s">
        <v>573</v>
      </c>
    </row>
    <row r="161" spans="2:2">
      <c r="B161" s="31" t="s">
        <v>574</v>
      </c>
    </row>
    <row r="162" spans="2:2">
      <c r="B162" s="31" t="s">
        <v>575</v>
      </c>
    </row>
    <row r="163" spans="2:2">
      <c r="B163" t="s">
        <v>576</v>
      </c>
    </row>
    <row r="164" spans="2:2">
      <c r="B164" t="s">
        <v>577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T500"/>
  <sheetViews>
    <sheetView zoomScaleNormal="100" workbookViewId="0">
      <selection sqref="A1:AT500"/>
    </sheetView>
  </sheetViews>
  <sheetFormatPr defaultRowHeight="12.75" customHeight="1"/>
  <cols>
    <col min="1" max="1" width="12.875" style="31" bestFit="1" customWidth="1"/>
    <col min="2" max="2" width="6" style="31" bestFit="1" customWidth="1"/>
    <col min="3" max="3" width="7.5" style="31" bestFit="1" customWidth="1"/>
    <col min="4" max="4" width="30.5" style="31" customWidth="1"/>
    <col min="5" max="5" width="34.125" style="31" customWidth="1"/>
    <col min="6" max="6" width="7.5" style="31" bestFit="1" customWidth="1"/>
    <col min="7" max="7" width="4.5" style="31" bestFit="1" customWidth="1"/>
    <col min="8" max="8" width="7.5" style="31" bestFit="1" customWidth="1"/>
    <col min="9" max="9" width="4.5" style="31" bestFit="1" customWidth="1"/>
    <col min="10" max="10" width="14.125" style="31" bestFit="1" customWidth="1"/>
    <col min="11" max="11" width="41.125" style="31" customWidth="1"/>
    <col min="12" max="12" width="26.75" style="31" bestFit="1" customWidth="1"/>
    <col min="13" max="13" width="5.125" style="31" bestFit="1" customWidth="1"/>
    <col min="14" max="14" width="5.25" style="31" bestFit="1" customWidth="1"/>
    <col min="15" max="15" width="5.5" style="31" bestFit="1" customWidth="1"/>
    <col min="16" max="16" width="8.25" style="31" bestFit="1" customWidth="1"/>
    <col min="17" max="17" width="4.5" style="31" bestFit="1" customWidth="1"/>
    <col min="18" max="19" width="7.5" style="31" bestFit="1" customWidth="1"/>
    <col min="20" max="20" width="11.375" style="31" bestFit="1" customWidth="1"/>
    <col min="21" max="21" width="6" style="31" bestFit="1" customWidth="1"/>
    <col min="22" max="22" width="11.375" style="31" bestFit="1" customWidth="1"/>
    <col min="23" max="23" width="5.25" style="31" bestFit="1" customWidth="1"/>
    <col min="24" max="24" width="85.25" style="31" bestFit="1" customWidth="1"/>
    <col min="25" max="25" width="8.875" style="31" bestFit="1" customWidth="1"/>
    <col min="26" max="26" width="8.5" style="32" bestFit="1" customWidth="1"/>
    <col min="27" max="27" width="3.75" style="32" bestFit="1" customWidth="1"/>
    <col min="28" max="28" width="9" style="32"/>
    <col min="29" max="29" width="15" bestFit="1" customWidth="1"/>
    <col min="30" max="30" width="24.25" style="5" bestFit="1" customWidth="1"/>
    <col min="47" max="256" width="9" style="1"/>
    <col min="257" max="257" width="12.875" style="1" bestFit="1" customWidth="1"/>
    <col min="258" max="258" width="6" style="1" bestFit="1" customWidth="1"/>
    <col min="259" max="259" width="7.5" style="1" bestFit="1" customWidth="1"/>
    <col min="260" max="260" width="10.875" style="1" bestFit="1" customWidth="1"/>
    <col min="261" max="261" width="20.75" style="1" bestFit="1" customWidth="1"/>
    <col min="262" max="262" width="7.5" style="1" bestFit="1" customWidth="1"/>
    <col min="263" max="263" width="4.5" style="1" bestFit="1" customWidth="1"/>
    <col min="264" max="264" width="7.5" style="1" bestFit="1" customWidth="1"/>
    <col min="265" max="265" width="4.5" style="1" bestFit="1" customWidth="1"/>
    <col min="266" max="266" width="7.5" style="1" bestFit="1" customWidth="1"/>
    <col min="267" max="267" width="10.125" style="1" customWidth="1"/>
    <col min="268" max="268" width="26.75" style="1" bestFit="1" customWidth="1"/>
    <col min="269" max="269" width="5.125" style="1" bestFit="1" customWidth="1"/>
    <col min="270" max="270" width="5.25" style="1" bestFit="1" customWidth="1"/>
    <col min="271" max="271" width="5.5" style="1" bestFit="1" customWidth="1"/>
    <col min="272" max="272" width="8.25" style="1" bestFit="1" customWidth="1"/>
    <col min="273" max="273" width="4.5" style="1" bestFit="1" customWidth="1"/>
    <col min="274" max="275" width="7.5" style="1" bestFit="1" customWidth="1"/>
    <col min="276" max="276" width="11.375" style="1" bestFit="1" customWidth="1"/>
    <col min="277" max="277" width="6" style="1" bestFit="1" customWidth="1"/>
    <col min="278" max="278" width="11.375" style="1" bestFit="1" customWidth="1"/>
    <col min="279" max="279" width="5.25" style="1" bestFit="1" customWidth="1"/>
    <col min="280" max="280" width="85.25" style="1" bestFit="1" customWidth="1"/>
    <col min="281" max="281" width="8.875" style="1" bestFit="1" customWidth="1"/>
    <col min="282" max="282" width="8.5" style="1" bestFit="1" customWidth="1"/>
    <col min="283" max="283" width="3.75" style="1" bestFit="1" customWidth="1"/>
    <col min="284" max="284" width="9" style="1"/>
    <col min="285" max="285" width="15" style="1" bestFit="1" customWidth="1"/>
    <col min="286" max="286" width="24.25" style="1" bestFit="1" customWidth="1"/>
    <col min="287" max="512" width="9" style="1"/>
    <col min="513" max="513" width="12.875" style="1" bestFit="1" customWidth="1"/>
    <col min="514" max="514" width="6" style="1" bestFit="1" customWidth="1"/>
    <col min="515" max="515" width="7.5" style="1" bestFit="1" customWidth="1"/>
    <col min="516" max="516" width="10.875" style="1" bestFit="1" customWidth="1"/>
    <col min="517" max="517" width="20.75" style="1" bestFit="1" customWidth="1"/>
    <col min="518" max="518" width="7.5" style="1" bestFit="1" customWidth="1"/>
    <col min="519" max="519" width="4.5" style="1" bestFit="1" customWidth="1"/>
    <col min="520" max="520" width="7.5" style="1" bestFit="1" customWidth="1"/>
    <col min="521" max="521" width="4.5" style="1" bestFit="1" customWidth="1"/>
    <col min="522" max="522" width="7.5" style="1" bestFit="1" customWidth="1"/>
    <col min="523" max="523" width="10.125" style="1" customWidth="1"/>
    <col min="524" max="524" width="26.75" style="1" bestFit="1" customWidth="1"/>
    <col min="525" max="525" width="5.125" style="1" bestFit="1" customWidth="1"/>
    <col min="526" max="526" width="5.25" style="1" bestFit="1" customWidth="1"/>
    <col min="527" max="527" width="5.5" style="1" bestFit="1" customWidth="1"/>
    <col min="528" max="528" width="8.25" style="1" bestFit="1" customWidth="1"/>
    <col min="529" max="529" width="4.5" style="1" bestFit="1" customWidth="1"/>
    <col min="530" max="531" width="7.5" style="1" bestFit="1" customWidth="1"/>
    <col min="532" max="532" width="11.375" style="1" bestFit="1" customWidth="1"/>
    <col min="533" max="533" width="6" style="1" bestFit="1" customWidth="1"/>
    <col min="534" max="534" width="11.375" style="1" bestFit="1" customWidth="1"/>
    <col min="535" max="535" width="5.25" style="1" bestFit="1" customWidth="1"/>
    <col min="536" max="536" width="85.25" style="1" bestFit="1" customWidth="1"/>
    <col min="537" max="537" width="8.875" style="1" bestFit="1" customWidth="1"/>
    <col min="538" max="538" width="8.5" style="1" bestFit="1" customWidth="1"/>
    <col min="539" max="539" width="3.75" style="1" bestFit="1" customWidth="1"/>
    <col min="540" max="540" width="9" style="1"/>
    <col min="541" max="541" width="15" style="1" bestFit="1" customWidth="1"/>
    <col min="542" max="542" width="24.25" style="1" bestFit="1" customWidth="1"/>
    <col min="543" max="768" width="9" style="1"/>
    <col min="769" max="769" width="12.875" style="1" bestFit="1" customWidth="1"/>
    <col min="770" max="770" width="6" style="1" bestFit="1" customWidth="1"/>
    <col min="771" max="771" width="7.5" style="1" bestFit="1" customWidth="1"/>
    <col min="772" max="772" width="10.875" style="1" bestFit="1" customWidth="1"/>
    <col min="773" max="773" width="20.75" style="1" bestFit="1" customWidth="1"/>
    <col min="774" max="774" width="7.5" style="1" bestFit="1" customWidth="1"/>
    <col min="775" max="775" width="4.5" style="1" bestFit="1" customWidth="1"/>
    <col min="776" max="776" width="7.5" style="1" bestFit="1" customWidth="1"/>
    <col min="777" max="777" width="4.5" style="1" bestFit="1" customWidth="1"/>
    <col min="778" max="778" width="7.5" style="1" bestFit="1" customWidth="1"/>
    <col min="779" max="779" width="10.125" style="1" customWidth="1"/>
    <col min="780" max="780" width="26.75" style="1" bestFit="1" customWidth="1"/>
    <col min="781" max="781" width="5.125" style="1" bestFit="1" customWidth="1"/>
    <col min="782" max="782" width="5.25" style="1" bestFit="1" customWidth="1"/>
    <col min="783" max="783" width="5.5" style="1" bestFit="1" customWidth="1"/>
    <col min="784" max="784" width="8.25" style="1" bestFit="1" customWidth="1"/>
    <col min="785" max="785" width="4.5" style="1" bestFit="1" customWidth="1"/>
    <col min="786" max="787" width="7.5" style="1" bestFit="1" customWidth="1"/>
    <col min="788" max="788" width="11.375" style="1" bestFit="1" customWidth="1"/>
    <col min="789" max="789" width="6" style="1" bestFit="1" customWidth="1"/>
    <col min="790" max="790" width="11.375" style="1" bestFit="1" customWidth="1"/>
    <col min="791" max="791" width="5.25" style="1" bestFit="1" customWidth="1"/>
    <col min="792" max="792" width="85.25" style="1" bestFit="1" customWidth="1"/>
    <col min="793" max="793" width="8.875" style="1" bestFit="1" customWidth="1"/>
    <col min="794" max="794" width="8.5" style="1" bestFit="1" customWidth="1"/>
    <col min="795" max="795" width="3.75" style="1" bestFit="1" customWidth="1"/>
    <col min="796" max="796" width="9" style="1"/>
    <col min="797" max="797" width="15" style="1" bestFit="1" customWidth="1"/>
    <col min="798" max="798" width="24.25" style="1" bestFit="1" customWidth="1"/>
    <col min="799" max="1024" width="9" style="1"/>
    <col min="1025" max="1025" width="12.875" style="1" bestFit="1" customWidth="1"/>
    <col min="1026" max="1026" width="6" style="1" bestFit="1" customWidth="1"/>
    <col min="1027" max="1027" width="7.5" style="1" bestFit="1" customWidth="1"/>
    <col min="1028" max="1028" width="10.875" style="1" bestFit="1" customWidth="1"/>
    <col min="1029" max="1029" width="20.75" style="1" bestFit="1" customWidth="1"/>
    <col min="1030" max="1030" width="7.5" style="1" bestFit="1" customWidth="1"/>
    <col min="1031" max="1031" width="4.5" style="1" bestFit="1" customWidth="1"/>
    <col min="1032" max="1032" width="7.5" style="1" bestFit="1" customWidth="1"/>
    <col min="1033" max="1033" width="4.5" style="1" bestFit="1" customWidth="1"/>
    <col min="1034" max="1034" width="7.5" style="1" bestFit="1" customWidth="1"/>
    <col min="1035" max="1035" width="10.125" style="1" customWidth="1"/>
    <col min="1036" max="1036" width="26.75" style="1" bestFit="1" customWidth="1"/>
    <col min="1037" max="1037" width="5.125" style="1" bestFit="1" customWidth="1"/>
    <col min="1038" max="1038" width="5.25" style="1" bestFit="1" customWidth="1"/>
    <col min="1039" max="1039" width="5.5" style="1" bestFit="1" customWidth="1"/>
    <col min="1040" max="1040" width="8.25" style="1" bestFit="1" customWidth="1"/>
    <col min="1041" max="1041" width="4.5" style="1" bestFit="1" customWidth="1"/>
    <col min="1042" max="1043" width="7.5" style="1" bestFit="1" customWidth="1"/>
    <col min="1044" max="1044" width="11.375" style="1" bestFit="1" customWidth="1"/>
    <col min="1045" max="1045" width="6" style="1" bestFit="1" customWidth="1"/>
    <col min="1046" max="1046" width="11.375" style="1" bestFit="1" customWidth="1"/>
    <col min="1047" max="1047" width="5.25" style="1" bestFit="1" customWidth="1"/>
    <col min="1048" max="1048" width="85.25" style="1" bestFit="1" customWidth="1"/>
    <col min="1049" max="1049" width="8.875" style="1" bestFit="1" customWidth="1"/>
    <col min="1050" max="1050" width="8.5" style="1" bestFit="1" customWidth="1"/>
    <col min="1051" max="1051" width="3.75" style="1" bestFit="1" customWidth="1"/>
    <col min="1052" max="1052" width="9" style="1"/>
    <col min="1053" max="1053" width="15" style="1" bestFit="1" customWidth="1"/>
    <col min="1054" max="1054" width="24.25" style="1" bestFit="1" customWidth="1"/>
    <col min="1055" max="1280" width="9" style="1"/>
    <col min="1281" max="1281" width="12.875" style="1" bestFit="1" customWidth="1"/>
    <col min="1282" max="1282" width="6" style="1" bestFit="1" customWidth="1"/>
    <col min="1283" max="1283" width="7.5" style="1" bestFit="1" customWidth="1"/>
    <col min="1284" max="1284" width="10.875" style="1" bestFit="1" customWidth="1"/>
    <col min="1285" max="1285" width="20.75" style="1" bestFit="1" customWidth="1"/>
    <col min="1286" max="1286" width="7.5" style="1" bestFit="1" customWidth="1"/>
    <col min="1287" max="1287" width="4.5" style="1" bestFit="1" customWidth="1"/>
    <col min="1288" max="1288" width="7.5" style="1" bestFit="1" customWidth="1"/>
    <col min="1289" max="1289" width="4.5" style="1" bestFit="1" customWidth="1"/>
    <col min="1290" max="1290" width="7.5" style="1" bestFit="1" customWidth="1"/>
    <col min="1291" max="1291" width="10.125" style="1" customWidth="1"/>
    <col min="1292" max="1292" width="26.75" style="1" bestFit="1" customWidth="1"/>
    <col min="1293" max="1293" width="5.125" style="1" bestFit="1" customWidth="1"/>
    <col min="1294" max="1294" width="5.25" style="1" bestFit="1" customWidth="1"/>
    <col min="1295" max="1295" width="5.5" style="1" bestFit="1" customWidth="1"/>
    <col min="1296" max="1296" width="8.25" style="1" bestFit="1" customWidth="1"/>
    <col min="1297" max="1297" width="4.5" style="1" bestFit="1" customWidth="1"/>
    <col min="1298" max="1299" width="7.5" style="1" bestFit="1" customWidth="1"/>
    <col min="1300" max="1300" width="11.375" style="1" bestFit="1" customWidth="1"/>
    <col min="1301" max="1301" width="6" style="1" bestFit="1" customWidth="1"/>
    <col min="1302" max="1302" width="11.375" style="1" bestFit="1" customWidth="1"/>
    <col min="1303" max="1303" width="5.25" style="1" bestFit="1" customWidth="1"/>
    <col min="1304" max="1304" width="85.25" style="1" bestFit="1" customWidth="1"/>
    <col min="1305" max="1305" width="8.875" style="1" bestFit="1" customWidth="1"/>
    <col min="1306" max="1306" width="8.5" style="1" bestFit="1" customWidth="1"/>
    <col min="1307" max="1307" width="3.75" style="1" bestFit="1" customWidth="1"/>
    <col min="1308" max="1308" width="9" style="1"/>
    <col min="1309" max="1309" width="15" style="1" bestFit="1" customWidth="1"/>
    <col min="1310" max="1310" width="24.25" style="1" bestFit="1" customWidth="1"/>
    <col min="1311" max="1536" width="9" style="1"/>
    <col min="1537" max="1537" width="12.875" style="1" bestFit="1" customWidth="1"/>
    <col min="1538" max="1538" width="6" style="1" bestFit="1" customWidth="1"/>
    <col min="1539" max="1539" width="7.5" style="1" bestFit="1" customWidth="1"/>
    <col min="1540" max="1540" width="10.875" style="1" bestFit="1" customWidth="1"/>
    <col min="1541" max="1541" width="20.75" style="1" bestFit="1" customWidth="1"/>
    <col min="1542" max="1542" width="7.5" style="1" bestFit="1" customWidth="1"/>
    <col min="1543" max="1543" width="4.5" style="1" bestFit="1" customWidth="1"/>
    <col min="1544" max="1544" width="7.5" style="1" bestFit="1" customWidth="1"/>
    <col min="1545" max="1545" width="4.5" style="1" bestFit="1" customWidth="1"/>
    <col min="1546" max="1546" width="7.5" style="1" bestFit="1" customWidth="1"/>
    <col min="1547" max="1547" width="10.125" style="1" customWidth="1"/>
    <col min="1548" max="1548" width="26.75" style="1" bestFit="1" customWidth="1"/>
    <col min="1549" max="1549" width="5.125" style="1" bestFit="1" customWidth="1"/>
    <col min="1550" max="1550" width="5.25" style="1" bestFit="1" customWidth="1"/>
    <col min="1551" max="1551" width="5.5" style="1" bestFit="1" customWidth="1"/>
    <col min="1552" max="1552" width="8.25" style="1" bestFit="1" customWidth="1"/>
    <col min="1553" max="1553" width="4.5" style="1" bestFit="1" customWidth="1"/>
    <col min="1554" max="1555" width="7.5" style="1" bestFit="1" customWidth="1"/>
    <col min="1556" max="1556" width="11.375" style="1" bestFit="1" customWidth="1"/>
    <col min="1557" max="1557" width="6" style="1" bestFit="1" customWidth="1"/>
    <col min="1558" max="1558" width="11.375" style="1" bestFit="1" customWidth="1"/>
    <col min="1559" max="1559" width="5.25" style="1" bestFit="1" customWidth="1"/>
    <col min="1560" max="1560" width="85.25" style="1" bestFit="1" customWidth="1"/>
    <col min="1561" max="1561" width="8.875" style="1" bestFit="1" customWidth="1"/>
    <col min="1562" max="1562" width="8.5" style="1" bestFit="1" customWidth="1"/>
    <col min="1563" max="1563" width="3.75" style="1" bestFit="1" customWidth="1"/>
    <col min="1564" max="1564" width="9" style="1"/>
    <col min="1565" max="1565" width="15" style="1" bestFit="1" customWidth="1"/>
    <col min="1566" max="1566" width="24.25" style="1" bestFit="1" customWidth="1"/>
    <col min="1567" max="1792" width="9" style="1"/>
    <col min="1793" max="1793" width="12.875" style="1" bestFit="1" customWidth="1"/>
    <col min="1794" max="1794" width="6" style="1" bestFit="1" customWidth="1"/>
    <col min="1795" max="1795" width="7.5" style="1" bestFit="1" customWidth="1"/>
    <col min="1796" max="1796" width="10.875" style="1" bestFit="1" customWidth="1"/>
    <col min="1797" max="1797" width="20.75" style="1" bestFit="1" customWidth="1"/>
    <col min="1798" max="1798" width="7.5" style="1" bestFit="1" customWidth="1"/>
    <col min="1799" max="1799" width="4.5" style="1" bestFit="1" customWidth="1"/>
    <col min="1800" max="1800" width="7.5" style="1" bestFit="1" customWidth="1"/>
    <col min="1801" max="1801" width="4.5" style="1" bestFit="1" customWidth="1"/>
    <col min="1802" max="1802" width="7.5" style="1" bestFit="1" customWidth="1"/>
    <col min="1803" max="1803" width="10.125" style="1" customWidth="1"/>
    <col min="1804" max="1804" width="26.75" style="1" bestFit="1" customWidth="1"/>
    <col min="1805" max="1805" width="5.125" style="1" bestFit="1" customWidth="1"/>
    <col min="1806" max="1806" width="5.25" style="1" bestFit="1" customWidth="1"/>
    <col min="1807" max="1807" width="5.5" style="1" bestFit="1" customWidth="1"/>
    <col min="1808" max="1808" width="8.25" style="1" bestFit="1" customWidth="1"/>
    <col min="1809" max="1809" width="4.5" style="1" bestFit="1" customWidth="1"/>
    <col min="1810" max="1811" width="7.5" style="1" bestFit="1" customWidth="1"/>
    <col min="1812" max="1812" width="11.375" style="1" bestFit="1" customWidth="1"/>
    <col min="1813" max="1813" width="6" style="1" bestFit="1" customWidth="1"/>
    <col min="1814" max="1814" width="11.375" style="1" bestFit="1" customWidth="1"/>
    <col min="1815" max="1815" width="5.25" style="1" bestFit="1" customWidth="1"/>
    <col min="1816" max="1816" width="85.25" style="1" bestFit="1" customWidth="1"/>
    <col min="1817" max="1817" width="8.875" style="1" bestFit="1" customWidth="1"/>
    <col min="1818" max="1818" width="8.5" style="1" bestFit="1" customWidth="1"/>
    <col min="1819" max="1819" width="3.75" style="1" bestFit="1" customWidth="1"/>
    <col min="1820" max="1820" width="9" style="1"/>
    <col min="1821" max="1821" width="15" style="1" bestFit="1" customWidth="1"/>
    <col min="1822" max="1822" width="24.25" style="1" bestFit="1" customWidth="1"/>
    <col min="1823" max="2048" width="9" style="1"/>
    <col min="2049" max="2049" width="12.875" style="1" bestFit="1" customWidth="1"/>
    <col min="2050" max="2050" width="6" style="1" bestFit="1" customWidth="1"/>
    <col min="2051" max="2051" width="7.5" style="1" bestFit="1" customWidth="1"/>
    <col min="2052" max="2052" width="10.875" style="1" bestFit="1" customWidth="1"/>
    <col min="2053" max="2053" width="20.75" style="1" bestFit="1" customWidth="1"/>
    <col min="2054" max="2054" width="7.5" style="1" bestFit="1" customWidth="1"/>
    <col min="2055" max="2055" width="4.5" style="1" bestFit="1" customWidth="1"/>
    <col min="2056" max="2056" width="7.5" style="1" bestFit="1" customWidth="1"/>
    <col min="2057" max="2057" width="4.5" style="1" bestFit="1" customWidth="1"/>
    <col min="2058" max="2058" width="7.5" style="1" bestFit="1" customWidth="1"/>
    <col min="2059" max="2059" width="10.125" style="1" customWidth="1"/>
    <col min="2060" max="2060" width="26.75" style="1" bestFit="1" customWidth="1"/>
    <col min="2061" max="2061" width="5.125" style="1" bestFit="1" customWidth="1"/>
    <col min="2062" max="2062" width="5.25" style="1" bestFit="1" customWidth="1"/>
    <col min="2063" max="2063" width="5.5" style="1" bestFit="1" customWidth="1"/>
    <col min="2064" max="2064" width="8.25" style="1" bestFit="1" customWidth="1"/>
    <col min="2065" max="2065" width="4.5" style="1" bestFit="1" customWidth="1"/>
    <col min="2066" max="2067" width="7.5" style="1" bestFit="1" customWidth="1"/>
    <col min="2068" max="2068" width="11.375" style="1" bestFit="1" customWidth="1"/>
    <col min="2069" max="2069" width="6" style="1" bestFit="1" customWidth="1"/>
    <col min="2070" max="2070" width="11.375" style="1" bestFit="1" customWidth="1"/>
    <col min="2071" max="2071" width="5.25" style="1" bestFit="1" customWidth="1"/>
    <col min="2072" max="2072" width="85.25" style="1" bestFit="1" customWidth="1"/>
    <col min="2073" max="2073" width="8.875" style="1" bestFit="1" customWidth="1"/>
    <col min="2074" max="2074" width="8.5" style="1" bestFit="1" customWidth="1"/>
    <col min="2075" max="2075" width="3.75" style="1" bestFit="1" customWidth="1"/>
    <col min="2076" max="2076" width="9" style="1"/>
    <col min="2077" max="2077" width="15" style="1" bestFit="1" customWidth="1"/>
    <col min="2078" max="2078" width="24.25" style="1" bestFit="1" customWidth="1"/>
    <col min="2079" max="2304" width="9" style="1"/>
    <col min="2305" max="2305" width="12.875" style="1" bestFit="1" customWidth="1"/>
    <col min="2306" max="2306" width="6" style="1" bestFit="1" customWidth="1"/>
    <col min="2307" max="2307" width="7.5" style="1" bestFit="1" customWidth="1"/>
    <col min="2308" max="2308" width="10.875" style="1" bestFit="1" customWidth="1"/>
    <col min="2309" max="2309" width="20.75" style="1" bestFit="1" customWidth="1"/>
    <col min="2310" max="2310" width="7.5" style="1" bestFit="1" customWidth="1"/>
    <col min="2311" max="2311" width="4.5" style="1" bestFit="1" customWidth="1"/>
    <col min="2312" max="2312" width="7.5" style="1" bestFit="1" customWidth="1"/>
    <col min="2313" max="2313" width="4.5" style="1" bestFit="1" customWidth="1"/>
    <col min="2314" max="2314" width="7.5" style="1" bestFit="1" customWidth="1"/>
    <col min="2315" max="2315" width="10.125" style="1" customWidth="1"/>
    <col min="2316" max="2316" width="26.75" style="1" bestFit="1" customWidth="1"/>
    <col min="2317" max="2317" width="5.125" style="1" bestFit="1" customWidth="1"/>
    <col min="2318" max="2318" width="5.25" style="1" bestFit="1" customWidth="1"/>
    <col min="2319" max="2319" width="5.5" style="1" bestFit="1" customWidth="1"/>
    <col min="2320" max="2320" width="8.25" style="1" bestFit="1" customWidth="1"/>
    <col min="2321" max="2321" width="4.5" style="1" bestFit="1" customWidth="1"/>
    <col min="2322" max="2323" width="7.5" style="1" bestFit="1" customWidth="1"/>
    <col min="2324" max="2324" width="11.375" style="1" bestFit="1" customWidth="1"/>
    <col min="2325" max="2325" width="6" style="1" bestFit="1" customWidth="1"/>
    <col min="2326" max="2326" width="11.375" style="1" bestFit="1" customWidth="1"/>
    <col min="2327" max="2327" width="5.25" style="1" bestFit="1" customWidth="1"/>
    <col min="2328" max="2328" width="85.25" style="1" bestFit="1" customWidth="1"/>
    <col min="2329" max="2329" width="8.875" style="1" bestFit="1" customWidth="1"/>
    <col min="2330" max="2330" width="8.5" style="1" bestFit="1" customWidth="1"/>
    <col min="2331" max="2331" width="3.75" style="1" bestFit="1" customWidth="1"/>
    <col min="2332" max="2332" width="9" style="1"/>
    <col min="2333" max="2333" width="15" style="1" bestFit="1" customWidth="1"/>
    <col min="2334" max="2334" width="24.25" style="1" bestFit="1" customWidth="1"/>
    <col min="2335" max="2560" width="9" style="1"/>
    <col min="2561" max="2561" width="12.875" style="1" bestFit="1" customWidth="1"/>
    <col min="2562" max="2562" width="6" style="1" bestFit="1" customWidth="1"/>
    <col min="2563" max="2563" width="7.5" style="1" bestFit="1" customWidth="1"/>
    <col min="2564" max="2564" width="10.875" style="1" bestFit="1" customWidth="1"/>
    <col min="2565" max="2565" width="20.75" style="1" bestFit="1" customWidth="1"/>
    <col min="2566" max="2566" width="7.5" style="1" bestFit="1" customWidth="1"/>
    <col min="2567" max="2567" width="4.5" style="1" bestFit="1" customWidth="1"/>
    <col min="2568" max="2568" width="7.5" style="1" bestFit="1" customWidth="1"/>
    <col min="2569" max="2569" width="4.5" style="1" bestFit="1" customWidth="1"/>
    <col min="2570" max="2570" width="7.5" style="1" bestFit="1" customWidth="1"/>
    <col min="2571" max="2571" width="10.125" style="1" customWidth="1"/>
    <col min="2572" max="2572" width="26.75" style="1" bestFit="1" customWidth="1"/>
    <col min="2573" max="2573" width="5.125" style="1" bestFit="1" customWidth="1"/>
    <col min="2574" max="2574" width="5.25" style="1" bestFit="1" customWidth="1"/>
    <col min="2575" max="2575" width="5.5" style="1" bestFit="1" customWidth="1"/>
    <col min="2576" max="2576" width="8.25" style="1" bestFit="1" customWidth="1"/>
    <col min="2577" max="2577" width="4.5" style="1" bestFit="1" customWidth="1"/>
    <col min="2578" max="2579" width="7.5" style="1" bestFit="1" customWidth="1"/>
    <col min="2580" max="2580" width="11.375" style="1" bestFit="1" customWidth="1"/>
    <col min="2581" max="2581" width="6" style="1" bestFit="1" customWidth="1"/>
    <col min="2582" max="2582" width="11.375" style="1" bestFit="1" customWidth="1"/>
    <col min="2583" max="2583" width="5.25" style="1" bestFit="1" customWidth="1"/>
    <col min="2584" max="2584" width="85.25" style="1" bestFit="1" customWidth="1"/>
    <col min="2585" max="2585" width="8.875" style="1" bestFit="1" customWidth="1"/>
    <col min="2586" max="2586" width="8.5" style="1" bestFit="1" customWidth="1"/>
    <col min="2587" max="2587" width="3.75" style="1" bestFit="1" customWidth="1"/>
    <col min="2588" max="2588" width="9" style="1"/>
    <col min="2589" max="2589" width="15" style="1" bestFit="1" customWidth="1"/>
    <col min="2590" max="2590" width="24.25" style="1" bestFit="1" customWidth="1"/>
    <col min="2591" max="2816" width="9" style="1"/>
    <col min="2817" max="2817" width="12.875" style="1" bestFit="1" customWidth="1"/>
    <col min="2818" max="2818" width="6" style="1" bestFit="1" customWidth="1"/>
    <col min="2819" max="2819" width="7.5" style="1" bestFit="1" customWidth="1"/>
    <col min="2820" max="2820" width="10.875" style="1" bestFit="1" customWidth="1"/>
    <col min="2821" max="2821" width="20.75" style="1" bestFit="1" customWidth="1"/>
    <col min="2822" max="2822" width="7.5" style="1" bestFit="1" customWidth="1"/>
    <col min="2823" max="2823" width="4.5" style="1" bestFit="1" customWidth="1"/>
    <col min="2824" max="2824" width="7.5" style="1" bestFit="1" customWidth="1"/>
    <col min="2825" max="2825" width="4.5" style="1" bestFit="1" customWidth="1"/>
    <col min="2826" max="2826" width="7.5" style="1" bestFit="1" customWidth="1"/>
    <col min="2827" max="2827" width="10.125" style="1" customWidth="1"/>
    <col min="2828" max="2828" width="26.75" style="1" bestFit="1" customWidth="1"/>
    <col min="2829" max="2829" width="5.125" style="1" bestFit="1" customWidth="1"/>
    <col min="2830" max="2830" width="5.25" style="1" bestFit="1" customWidth="1"/>
    <col min="2831" max="2831" width="5.5" style="1" bestFit="1" customWidth="1"/>
    <col min="2832" max="2832" width="8.25" style="1" bestFit="1" customWidth="1"/>
    <col min="2833" max="2833" width="4.5" style="1" bestFit="1" customWidth="1"/>
    <col min="2834" max="2835" width="7.5" style="1" bestFit="1" customWidth="1"/>
    <col min="2836" max="2836" width="11.375" style="1" bestFit="1" customWidth="1"/>
    <col min="2837" max="2837" width="6" style="1" bestFit="1" customWidth="1"/>
    <col min="2838" max="2838" width="11.375" style="1" bestFit="1" customWidth="1"/>
    <col min="2839" max="2839" width="5.25" style="1" bestFit="1" customWidth="1"/>
    <col min="2840" max="2840" width="85.25" style="1" bestFit="1" customWidth="1"/>
    <col min="2841" max="2841" width="8.875" style="1" bestFit="1" customWidth="1"/>
    <col min="2842" max="2842" width="8.5" style="1" bestFit="1" customWidth="1"/>
    <col min="2843" max="2843" width="3.75" style="1" bestFit="1" customWidth="1"/>
    <col min="2844" max="2844" width="9" style="1"/>
    <col min="2845" max="2845" width="15" style="1" bestFit="1" customWidth="1"/>
    <col min="2846" max="2846" width="24.25" style="1" bestFit="1" customWidth="1"/>
    <col min="2847" max="3072" width="9" style="1"/>
    <col min="3073" max="3073" width="12.875" style="1" bestFit="1" customWidth="1"/>
    <col min="3074" max="3074" width="6" style="1" bestFit="1" customWidth="1"/>
    <col min="3075" max="3075" width="7.5" style="1" bestFit="1" customWidth="1"/>
    <col min="3076" max="3076" width="10.875" style="1" bestFit="1" customWidth="1"/>
    <col min="3077" max="3077" width="20.75" style="1" bestFit="1" customWidth="1"/>
    <col min="3078" max="3078" width="7.5" style="1" bestFit="1" customWidth="1"/>
    <col min="3079" max="3079" width="4.5" style="1" bestFit="1" customWidth="1"/>
    <col min="3080" max="3080" width="7.5" style="1" bestFit="1" customWidth="1"/>
    <col min="3081" max="3081" width="4.5" style="1" bestFit="1" customWidth="1"/>
    <col min="3082" max="3082" width="7.5" style="1" bestFit="1" customWidth="1"/>
    <col min="3083" max="3083" width="10.125" style="1" customWidth="1"/>
    <col min="3084" max="3084" width="26.75" style="1" bestFit="1" customWidth="1"/>
    <col min="3085" max="3085" width="5.125" style="1" bestFit="1" customWidth="1"/>
    <col min="3086" max="3086" width="5.25" style="1" bestFit="1" customWidth="1"/>
    <col min="3087" max="3087" width="5.5" style="1" bestFit="1" customWidth="1"/>
    <col min="3088" max="3088" width="8.25" style="1" bestFit="1" customWidth="1"/>
    <col min="3089" max="3089" width="4.5" style="1" bestFit="1" customWidth="1"/>
    <col min="3090" max="3091" width="7.5" style="1" bestFit="1" customWidth="1"/>
    <col min="3092" max="3092" width="11.375" style="1" bestFit="1" customWidth="1"/>
    <col min="3093" max="3093" width="6" style="1" bestFit="1" customWidth="1"/>
    <col min="3094" max="3094" width="11.375" style="1" bestFit="1" customWidth="1"/>
    <col min="3095" max="3095" width="5.25" style="1" bestFit="1" customWidth="1"/>
    <col min="3096" max="3096" width="85.25" style="1" bestFit="1" customWidth="1"/>
    <col min="3097" max="3097" width="8.875" style="1" bestFit="1" customWidth="1"/>
    <col min="3098" max="3098" width="8.5" style="1" bestFit="1" customWidth="1"/>
    <col min="3099" max="3099" width="3.75" style="1" bestFit="1" customWidth="1"/>
    <col min="3100" max="3100" width="9" style="1"/>
    <col min="3101" max="3101" width="15" style="1" bestFit="1" customWidth="1"/>
    <col min="3102" max="3102" width="24.25" style="1" bestFit="1" customWidth="1"/>
    <col min="3103" max="3328" width="9" style="1"/>
    <col min="3329" max="3329" width="12.875" style="1" bestFit="1" customWidth="1"/>
    <col min="3330" max="3330" width="6" style="1" bestFit="1" customWidth="1"/>
    <col min="3331" max="3331" width="7.5" style="1" bestFit="1" customWidth="1"/>
    <col min="3332" max="3332" width="10.875" style="1" bestFit="1" customWidth="1"/>
    <col min="3333" max="3333" width="20.75" style="1" bestFit="1" customWidth="1"/>
    <col min="3334" max="3334" width="7.5" style="1" bestFit="1" customWidth="1"/>
    <col min="3335" max="3335" width="4.5" style="1" bestFit="1" customWidth="1"/>
    <col min="3336" max="3336" width="7.5" style="1" bestFit="1" customWidth="1"/>
    <col min="3337" max="3337" width="4.5" style="1" bestFit="1" customWidth="1"/>
    <col min="3338" max="3338" width="7.5" style="1" bestFit="1" customWidth="1"/>
    <col min="3339" max="3339" width="10.125" style="1" customWidth="1"/>
    <col min="3340" max="3340" width="26.75" style="1" bestFit="1" customWidth="1"/>
    <col min="3341" max="3341" width="5.125" style="1" bestFit="1" customWidth="1"/>
    <col min="3342" max="3342" width="5.25" style="1" bestFit="1" customWidth="1"/>
    <col min="3343" max="3343" width="5.5" style="1" bestFit="1" customWidth="1"/>
    <col min="3344" max="3344" width="8.25" style="1" bestFit="1" customWidth="1"/>
    <col min="3345" max="3345" width="4.5" style="1" bestFit="1" customWidth="1"/>
    <col min="3346" max="3347" width="7.5" style="1" bestFit="1" customWidth="1"/>
    <col min="3348" max="3348" width="11.375" style="1" bestFit="1" customWidth="1"/>
    <col min="3349" max="3349" width="6" style="1" bestFit="1" customWidth="1"/>
    <col min="3350" max="3350" width="11.375" style="1" bestFit="1" customWidth="1"/>
    <col min="3351" max="3351" width="5.25" style="1" bestFit="1" customWidth="1"/>
    <col min="3352" max="3352" width="85.25" style="1" bestFit="1" customWidth="1"/>
    <col min="3353" max="3353" width="8.875" style="1" bestFit="1" customWidth="1"/>
    <col min="3354" max="3354" width="8.5" style="1" bestFit="1" customWidth="1"/>
    <col min="3355" max="3355" width="3.75" style="1" bestFit="1" customWidth="1"/>
    <col min="3356" max="3356" width="9" style="1"/>
    <col min="3357" max="3357" width="15" style="1" bestFit="1" customWidth="1"/>
    <col min="3358" max="3358" width="24.25" style="1" bestFit="1" customWidth="1"/>
    <col min="3359" max="3584" width="9" style="1"/>
    <col min="3585" max="3585" width="12.875" style="1" bestFit="1" customWidth="1"/>
    <col min="3586" max="3586" width="6" style="1" bestFit="1" customWidth="1"/>
    <col min="3587" max="3587" width="7.5" style="1" bestFit="1" customWidth="1"/>
    <col min="3588" max="3588" width="10.875" style="1" bestFit="1" customWidth="1"/>
    <col min="3589" max="3589" width="20.75" style="1" bestFit="1" customWidth="1"/>
    <col min="3590" max="3590" width="7.5" style="1" bestFit="1" customWidth="1"/>
    <col min="3591" max="3591" width="4.5" style="1" bestFit="1" customWidth="1"/>
    <col min="3592" max="3592" width="7.5" style="1" bestFit="1" customWidth="1"/>
    <col min="3593" max="3593" width="4.5" style="1" bestFit="1" customWidth="1"/>
    <col min="3594" max="3594" width="7.5" style="1" bestFit="1" customWidth="1"/>
    <col min="3595" max="3595" width="10.125" style="1" customWidth="1"/>
    <col min="3596" max="3596" width="26.75" style="1" bestFit="1" customWidth="1"/>
    <col min="3597" max="3597" width="5.125" style="1" bestFit="1" customWidth="1"/>
    <col min="3598" max="3598" width="5.25" style="1" bestFit="1" customWidth="1"/>
    <col min="3599" max="3599" width="5.5" style="1" bestFit="1" customWidth="1"/>
    <col min="3600" max="3600" width="8.25" style="1" bestFit="1" customWidth="1"/>
    <col min="3601" max="3601" width="4.5" style="1" bestFit="1" customWidth="1"/>
    <col min="3602" max="3603" width="7.5" style="1" bestFit="1" customWidth="1"/>
    <col min="3604" max="3604" width="11.375" style="1" bestFit="1" customWidth="1"/>
    <col min="3605" max="3605" width="6" style="1" bestFit="1" customWidth="1"/>
    <col min="3606" max="3606" width="11.375" style="1" bestFit="1" customWidth="1"/>
    <col min="3607" max="3607" width="5.25" style="1" bestFit="1" customWidth="1"/>
    <col min="3608" max="3608" width="85.25" style="1" bestFit="1" customWidth="1"/>
    <col min="3609" max="3609" width="8.875" style="1" bestFit="1" customWidth="1"/>
    <col min="3610" max="3610" width="8.5" style="1" bestFit="1" customWidth="1"/>
    <col min="3611" max="3611" width="3.75" style="1" bestFit="1" customWidth="1"/>
    <col min="3612" max="3612" width="9" style="1"/>
    <col min="3613" max="3613" width="15" style="1" bestFit="1" customWidth="1"/>
    <col min="3614" max="3614" width="24.25" style="1" bestFit="1" customWidth="1"/>
    <col min="3615" max="3840" width="9" style="1"/>
    <col min="3841" max="3841" width="12.875" style="1" bestFit="1" customWidth="1"/>
    <col min="3842" max="3842" width="6" style="1" bestFit="1" customWidth="1"/>
    <col min="3843" max="3843" width="7.5" style="1" bestFit="1" customWidth="1"/>
    <col min="3844" max="3844" width="10.875" style="1" bestFit="1" customWidth="1"/>
    <col min="3845" max="3845" width="20.75" style="1" bestFit="1" customWidth="1"/>
    <col min="3846" max="3846" width="7.5" style="1" bestFit="1" customWidth="1"/>
    <col min="3847" max="3847" width="4.5" style="1" bestFit="1" customWidth="1"/>
    <col min="3848" max="3848" width="7.5" style="1" bestFit="1" customWidth="1"/>
    <col min="3849" max="3849" width="4.5" style="1" bestFit="1" customWidth="1"/>
    <col min="3850" max="3850" width="7.5" style="1" bestFit="1" customWidth="1"/>
    <col min="3851" max="3851" width="10.125" style="1" customWidth="1"/>
    <col min="3852" max="3852" width="26.75" style="1" bestFit="1" customWidth="1"/>
    <col min="3853" max="3853" width="5.125" style="1" bestFit="1" customWidth="1"/>
    <col min="3854" max="3854" width="5.25" style="1" bestFit="1" customWidth="1"/>
    <col min="3855" max="3855" width="5.5" style="1" bestFit="1" customWidth="1"/>
    <col min="3856" max="3856" width="8.25" style="1" bestFit="1" customWidth="1"/>
    <col min="3857" max="3857" width="4.5" style="1" bestFit="1" customWidth="1"/>
    <col min="3858" max="3859" width="7.5" style="1" bestFit="1" customWidth="1"/>
    <col min="3860" max="3860" width="11.375" style="1" bestFit="1" customWidth="1"/>
    <col min="3861" max="3861" width="6" style="1" bestFit="1" customWidth="1"/>
    <col min="3862" max="3862" width="11.375" style="1" bestFit="1" customWidth="1"/>
    <col min="3863" max="3863" width="5.25" style="1" bestFit="1" customWidth="1"/>
    <col min="3864" max="3864" width="85.25" style="1" bestFit="1" customWidth="1"/>
    <col min="3865" max="3865" width="8.875" style="1" bestFit="1" customWidth="1"/>
    <col min="3866" max="3866" width="8.5" style="1" bestFit="1" customWidth="1"/>
    <col min="3867" max="3867" width="3.75" style="1" bestFit="1" customWidth="1"/>
    <col min="3868" max="3868" width="9" style="1"/>
    <col min="3869" max="3869" width="15" style="1" bestFit="1" customWidth="1"/>
    <col min="3870" max="3870" width="24.25" style="1" bestFit="1" customWidth="1"/>
    <col min="3871" max="4096" width="9" style="1"/>
    <col min="4097" max="4097" width="12.875" style="1" bestFit="1" customWidth="1"/>
    <col min="4098" max="4098" width="6" style="1" bestFit="1" customWidth="1"/>
    <col min="4099" max="4099" width="7.5" style="1" bestFit="1" customWidth="1"/>
    <col min="4100" max="4100" width="10.875" style="1" bestFit="1" customWidth="1"/>
    <col min="4101" max="4101" width="20.75" style="1" bestFit="1" customWidth="1"/>
    <col min="4102" max="4102" width="7.5" style="1" bestFit="1" customWidth="1"/>
    <col min="4103" max="4103" width="4.5" style="1" bestFit="1" customWidth="1"/>
    <col min="4104" max="4104" width="7.5" style="1" bestFit="1" customWidth="1"/>
    <col min="4105" max="4105" width="4.5" style="1" bestFit="1" customWidth="1"/>
    <col min="4106" max="4106" width="7.5" style="1" bestFit="1" customWidth="1"/>
    <col min="4107" max="4107" width="10.125" style="1" customWidth="1"/>
    <col min="4108" max="4108" width="26.75" style="1" bestFit="1" customWidth="1"/>
    <col min="4109" max="4109" width="5.125" style="1" bestFit="1" customWidth="1"/>
    <col min="4110" max="4110" width="5.25" style="1" bestFit="1" customWidth="1"/>
    <col min="4111" max="4111" width="5.5" style="1" bestFit="1" customWidth="1"/>
    <col min="4112" max="4112" width="8.25" style="1" bestFit="1" customWidth="1"/>
    <col min="4113" max="4113" width="4.5" style="1" bestFit="1" customWidth="1"/>
    <col min="4114" max="4115" width="7.5" style="1" bestFit="1" customWidth="1"/>
    <col min="4116" max="4116" width="11.375" style="1" bestFit="1" customWidth="1"/>
    <col min="4117" max="4117" width="6" style="1" bestFit="1" customWidth="1"/>
    <col min="4118" max="4118" width="11.375" style="1" bestFit="1" customWidth="1"/>
    <col min="4119" max="4119" width="5.25" style="1" bestFit="1" customWidth="1"/>
    <col min="4120" max="4120" width="85.25" style="1" bestFit="1" customWidth="1"/>
    <col min="4121" max="4121" width="8.875" style="1" bestFit="1" customWidth="1"/>
    <col min="4122" max="4122" width="8.5" style="1" bestFit="1" customWidth="1"/>
    <col min="4123" max="4123" width="3.75" style="1" bestFit="1" customWidth="1"/>
    <col min="4124" max="4124" width="9" style="1"/>
    <col min="4125" max="4125" width="15" style="1" bestFit="1" customWidth="1"/>
    <col min="4126" max="4126" width="24.25" style="1" bestFit="1" customWidth="1"/>
    <col min="4127" max="4352" width="9" style="1"/>
    <col min="4353" max="4353" width="12.875" style="1" bestFit="1" customWidth="1"/>
    <col min="4354" max="4354" width="6" style="1" bestFit="1" customWidth="1"/>
    <col min="4355" max="4355" width="7.5" style="1" bestFit="1" customWidth="1"/>
    <col min="4356" max="4356" width="10.875" style="1" bestFit="1" customWidth="1"/>
    <col min="4357" max="4357" width="20.75" style="1" bestFit="1" customWidth="1"/>
    <col min="4358" max="4358" width="7.5" style="1" bestFit="1" customWidth="1"/>
    <col min="4359" max="4359" width="4.5" style="1" bestFit="1" customWidth="1"/>
    <col min="4360" max="4360" width="7.5" style="1" bestFit="1" customWidth="1"/>
    <col min="4361" max="4361" width="4.5" style="1" bestFit="1" customWidth="1"/>
    <col min="4362" max="4362" width="7.5" style="1" bestFit="1" customWidth="1"/>
    <col min="4363" max="4363" width="10.125" style="1" customWidth="1"/>
    <col min="4364" max="4364" width="26.75" style="1" bestFit="1" customWidth="1"/>
    <col min="4365" max="4365" width="5.125" style="1" bestFit="1" customWidth="1"/>
    <col min="4366" max="4366" width="5.25" style="1" bestFit="1" customWidth="1"/>
    <col min="4367" max="4367" width="5.5" style="1" bestFit="1" customWidth="1"/>
    <col min="4368" max="4368" width="8.25" style="1" bestFit="1" customWidth="1"/>
    <col min="4369" max="4369" width="4.5" style="1" bestFit="1" customWidth="1"/>
    <col min="4370" max="4371" width="7.5" style="1" bestFit="1" customWidth="1"/>
    <col min="4372" max="4372" width="11.375" style="1" bestFit="1" customWidth="1"/>
    <col min="4373" max="4373" width="6" style="1" bestFit="1" customWidth="1"/>
    <col min="4374" max="4374" width="11.375" style="1" bestFit="1" customWidth="1"/>
    <col min="4375" max="4375" width="5.25" style="1" bestFit="1" customWidth="1"/>
    <col min="4376" max="4376" width="85.25" style="1" bestFit="1" customWidth="1"/>
    <col min="4377" max="4377" width="8.875" style="1" bestFit="1" customWidth="1"/>
    <col min="4378" max="4378" width="8.5" style="1" bestFit="1" customWidth="1"/>
    <col min="4379" max="4379" width="3.75" style="1" bestFit="1" customWidth="1"/>
    <col min="4380" max="4380" width="9" style="1"/>
    <col min="4381" max="4381" width="15" style="1" bestFit="1" customWidth="1"/>
    <col min="4382" max="4382" width="24.25" style="1" bestFit="1" customWidth="1"/>
    <col min="4383" max="4608" width="9" style="1"/>
    <col min="4609" max="4609" width="12.875" style="1" bestFit="1" customWidth="1"/>
    <col min="4610" max="4610" width="6" style="1" bestFit="1" customWidth="1"/>
    <col min="4611" max="4611" width="7.5" style="1" bestFit="1" customWidth="1"/>
    <col min="4612" max="4612" width="10.875" style="1" bestFit="1" customWidth="1"/>
    <col min="4613" max="4613" width="20.75" style="1" bestFit="1" customWidth="1"/>
    <col min="4614" max="4614" width="7.5" style="1" bestFit="1" customWidth="1"/>
    <col min="4615" max="4615" width="4.5" style="1" bestFit="1" customWidth="1"/>
    <col min="4616" max="4616" width="7.5" style="1" bestFit="1" customWidth="1"/>
    <col min="4617" max="4617" width="4.5" style="1" bestFit="1" customWidth="1"/>
    <col min="4618" max="4618" width="7.5" style="1" bestFit="1" customWidth="1"/>
    <col min="4619" max="4619" width="10.125" style="1" customWidth="1"/>
    <col min="4620" max="4620" width="26.75" style="1" bestFit="1" customWidth="1"/>
    <col min="4621" max="4621" width="5.125" style="1" bestFit="1" customWidth="1"/>
    <col min="4622" max="4622" width="5.25" style="1" bestFit="1" customWidth="1"/>
    <col min="4623" max="4623" width="5.5" style="1" bestFit="1" customWidth="1"/>
    <col min="4624" max="4624" width="8.25" style="1" bestFit="1" customWidth="1"/>
    <col min="4625" max="4625" width="4.5" style="1" bestFit="1" customWidth="1"/>
    <col min="4626" max="4627" width="7.5" style="1" bestFit="1" customWidth="1"/>
    <col min="4628" max="4628" width="11.375" style="1" bestFit="1" customWidth="1"/>
    <col min="4629" max="4629" width="6" style="1" bestFit="1" customWidth="1"/>
    <col min="4630" max="4630" width="11.375" style="1" bestFit="1" customWidth="1"/>
    <col min="4631" max="4631" width="5.25" style="1" bestFit="1" customWidth="1"/>
    <col min="4632" max="4632" width="85.25" style="1" bestFit="1" customWidth="1"/>
    <col min="4633" max="4633" width="8.875" style="1" bestFit="1" customWidth="1"/>
    <col min="4634" max="4634" width="8.5" style="1" bestFit="1" customWidth="1"/>
    <col min="4635" max="4635" width="3.75" style="1" bestFit="1" customWidth="1"/>
    <col min="4636" max="4636" width="9" style="1"/>
    <col min="4637" max="4637" width="15" style="1" bestFit="1" customWidth="1"/>
    <col min="4638" max="4638" width="24.25" style="1" bestFit="1" customWidth="1"/>
    <col min="4639" max="4864" width="9" style="1"/>
    <col min="4865" max="4865" width="12.875" style="1" bestFit="1" customWidth="1"/>
    <col min="4866" max="4866" width="6" style="1" bestFit="1" customWidth="1"/>
    <col min="4867" max="4867" width="7.5" style="1" bestFit="1" customWidth="1"/>
    <col min="4868" max="4868" width="10.875" style="1" bestFit="1" customWidth="1"/>
    <col min="4869" max="4869" width="20.75" style="1" bestFit="1" customWidth="1"/>
    <col min="4870" max="4870" width="7.5" style="1" bestFit="1" customWidth="1"/>
    <col min="4871" max="4871" width="4.5" style="1" bestFit="1" customWidth="1"/>
    <col min="4872" max="4872" width="7.5" style="1" bestFit="1" customWidth="1"/>
    <col min="4873" max="4873" width="4.5" style="1" bestFit="1" customWidth="1"/>
    <col min="4874" max="4874" width="7.5" style="1" bestFit="1" customWidth="1"/>
    <col min="4875" max="4875" width="10.125" style="1" customWidth="1"/>
    <col min="4876" max="4876" width="26.75" style="1" bestFit="1" customWidth="1"/>
    <col min="4877" max="4877" width="5.125" style="1" bestFit="1" customWidth="1"/>
    <col min="4878" max="4878" width="5.25" style="1" bestFit="1" customWidth="1"/>
    <col min="4879" max="4879" width="5.5" style="1" bestFit="1" customWidth="1"/>
    <col min="4880" max="4880" width="8.25" style="1" bestFit="1" customWidth="1"/>
    <col min="4881" max="4881" width="4.5" style="1" bestFit="1" customWidth="1"/>
    <col min="4882" max="4883" width="7.5" style="1" bestFit="1" customWidth="1"/>
    <col min="4884" max="4884" width="11.375" style="1" bestFit="1" customWidth="1"/>
    <col min="4885" max="4885" width="6" style="1" bestFit="1" customWidth="1"/>
    <col min="4886" max="4886" width="11.375" style="1" bestFit="1" customWidth="1"/>
    <col min="4887" max="4887" width="5.25" style="1" bestFit="1" customWidth="1"/>
    <col min="4888" max="4888" width="85.25" style="1" bestFit="1" customWidth="1"/>
    <col min="4889" max="4889" width="8.875" style="1" bestFit="1" customWidth="1"/>
    <col min="4890" max="4890" width="8.5" style="1" bestFit="1" customWidth="1"/>
    <col min="4891" max="4891" width="3.75" style="1" bestFit="1" customWidth="1"/>
    <col min="4892" max="4892" width="9" style="1"/>
    <col min="4893" max="4893" width="15" style="1" bestFit="1" customWidth="1"/>
    <col min="4894" max="4894" width="24.25" style="1" bestFit="1" customWidth="1"/>
    <col min="4895" max="5120" width="9" style="1"/>
    <col min="5121" max="5121" width="12.875" style="1" bestFit="1" customWidth="1"/>
    <col min="5122" max="5122" width="6" style="1" bestFit="1" customWidth="1"/>
    <col min="5123" max="5123" width="7.5" style="1" bestFit="1" customWidth="1"/>
    <col min="5124" max="5124" width="10.875" style="1" bestFit="1" customWidth="1"/>
    <col min="5125" max="5125" width="20.75" style="1" bestFit="1" customWidth="1"/>
    <col min="5126" max="5126" width="7.5" style="1" bestFit="1" customWidth="1"/>
    <col min="5127" max="5127" width="4.5" style="1" bestFit="1" customWidth="1"/>
    <col min="5128" max="5128" width="7.5" style="1" bestFit="1" customWidth="1"/>
    <col min="5129" max="5129" width="4.5" style="1" bestFit="1" customWidth="1"/>
    <col min="5130" max="5130" width="7.5" style="1" bestFit="1" customWidth="1"/>
    <col min="5131" max="5131" width="10.125" style="1" customWidth="1"/>
    <col min="5132" max="5132" width="26.75" style="1" bestFit="1" customWidth="1"/>
    <col min="5133" max="5133" width="5.125" style="1" bestFit="1" customWidth="1"/>
    <col min="5134" max="5134" width="5.25" style="1" bestFit="1" customWidth="1"/>
    <col min="5135" max="5135" width="5.5" style="1" bestFit="1" customWidth="1"/>
    <col min="5136" max="5136" width="8.25" style="1" bestFit="1" customWidth="1"/>
    <col min="5137" max="5137" width="4.5" style="1" bestFit="1" customWidth="1"/>
    <col min="5138" max="5139" width="7.5" style="1" bestFit="1" customWidth="1"/>
    <col min="5140" max="5140" width="11.375" style="1" bestFit="1" customWidth="1"/>
    <col min="5141" max="5141" width="6" style="1" bestFit="1" customWidth="1"/>
    <col min="5142" max="5142" width="11.375" style="1" bestFit="1" customWidth="1"/>
    <col min="5143" max="5143" width="5.25" style="1" bestFit="1" customWidth="1"/>
    <col min="5144" max="5144" width="85.25" style="1" bestFit="1" customWidth="1"/>
    <col min="5145" max="5145" width="8.875" style="1" bestFit="1" customWidth="1"/>
    <col min="5146" max="5146" width="8.5" style="1" bestFit="1" customWidth="1"/>
    <col min="5147" max="5147" width="3.75" style="1" bestFit="1" customWidth="1"/>
    <col min="5148" max="5148" width="9" style="1"/>
    <col min="5149" max="5149" width="15" style="1" bestFit="1" customWidth="1"/>
    <col min="5150" max="5150" width="24.25" style="1" bestFit="1" customWidth="1"/>
    <col min="5151" max="5376" width="9" style="1"/>
    <col min="5377" max="5377" width="12.875" style="1" bestFit="1" customWidth="1"/>
    <col min="5378" max="5378" width="6" style="1" bestFit="1" customWidth="1"/>
    <col min="5379" max="5379" width="7.5" style="1" bestFit="1" customWidth="1"/>
    <col min="5380" max="5380" width="10.875" style="1" bestFit="1" customWidth="1"/>
    <col min="5381" max="5381" width="20.75" style="1" bestFit="1" customWidth="1"/>
    <col min="5382" max="5382" width="7.5" style="1" bestFit="1" customWidth="1"/>
    <col min="5383" max="5383" width="4.5" style="1" bestFit="1" customWidth="1"/>
    <col min="5384" max="5384" width="7.5" style="1" bestFit="1" customWidth="1"/>
    <col min="5385" max="5385" width="4.5" style="1" bestFit="1" customWidth="1"/>
    <col min="5386" max="5386" width="7.5" style="1" bestFit="1" customWidth="1"/>
    <col min="5387" max="5387" width="10.125" style="1" customWidth="1"/>
    <col min="5388" max="5388" width="26.75" style="1" bestFit="1" customWidth="1"/>
    <col min="5389" max="5389" width="5.125" style="1" bestFit="1" customWidth="1"/>
    <col min="5390" max="5390" width="5.25" style="1" bestFit="1" customWidth="1"/>
    <col min="5391" max="5391" width="5.5" style="1" bestFit="1" customWidth="1"/>
    <col min="5392" max="5392" width="8.25" style="1" bestFit="1" customWidth="1"/>
    <col min="5393" max="5393" width="4.5" style="1" bestFit="1" customWidth="1"/>
    <col min="5394" max="5395" width="7.5" style="1" bestFit="1" customWidth="1"/>
    <col min="5396" max="5396" width="11.375" style="1" bestFit="1" customWidth="1"/>
    <col min="5397" max="5397" width="6" style="1" bestFit="1" customWidth="1"/>
    <col min="5398" max="5398" width="11.375" style="1" bestFit="1" customWidth="1"/>
    <col min="5399" max="5399" width="5.25" style="1" bestFit="1" customWidth="1"/>
    <col min="5400" max="5400" width="85.25" style="1" bestFit="1" customWidth="1"/>
    <col min="5401" max="5401" width="8.875" style="1" bestFit="1" customWidth="1"/>
    <col min="5402" max="5402" width="8.5" style="1" bestFit="1" customWidth="1"/>
    <col min="5403" max="5403" width="3.75" style="1" bestFit="1" customWidth="1"/>
    <col min="5404" max="5404" width="9" style="1"/>
    <col min="5405" max="5405" width="15" style="1" bestFit="1" customWidth="1"/>
    <col min="5406" max="5406" width="24.25" style="1" bestFit="1" customWidth="1"/>
    <col min="5407" max="5632" width="9" style="1"/>
    <col min="5633" max="5633" width="12.875" style="1" bestFit="1" customWidth="1"/>
    <col min="5634" max="5634" width="6" style="1" bestFit="1" customWidth="1"/>
    <col min="5635" max="5635" width="7.5" style="1" bestFit="1" customWidth="1"/>
    <col min="5636" max="5636" width="10.875" style="1" bestFit="1" customWidth="1"/>
    <col min="5637" max="5637" width="20.75" style="1" bestFit="1" customWidth="1"/>
    <col min="5638" max="5638" width="7.5" style="1" bestFit="1" customWidth="1"/>
    <col min="5639" max="5639" width="4.5" style="1" bestFit="1" customWidth="1"/>
    <col min="5640" max="5640" width="7.5" style="1" bestFit="1" customWidth="1"/>
    <col min="5641" max="5641" width="4.5" style="1" bestFit="1" customWidth="1"/>
    <col min="5642" max="5642" width="7.5" style="1" bestFit="1" customWidth="1"/>
    <col min="5643" max="5643" width="10.125" style="1" customWidth="1"/>
    <col min="5644" max="5644" width="26.75" style="1" bestFit="1" customWidth="1"/>
    <col min="5645" max="5645" width="5.125" style="1" bestFit="1" customWidth="1"/>
    <col min="5646" max="5646" width="5.25" style="1" bestFit="1" customWidth="1"/>
    <col min="5647" max="5647" width="5.5" style="1" bestFit="1" customWidth="1"/>
    <col min="5648" max="5648" width="8.25" style="1" bestFit="1" customWidth="1"/>
    <col min="5649" max="5649" width="4.5" style="1" bestFit="1" customWidth="1"/>
    <col min="5650" max="5651" width="7.5" style="1" bestFit="1" customWidth="1"/>
    <col min="5652" max="5652" width="11.375" style="1" bestFit="1" customWidth="1"/>
    <col min="5653" max="5653" width="6" style="1" bestFit="1" customWidth="1"/>
    <col min="5654" max="5654" width="11.375" style="1" bestFit="1" customWidth="1"/>
    <col min="5655" max="5655" width="5.25" style="1" bestFit="1" customWidth="1"/>
    <col min="5656" max="5656" width="85.25" style="1" bestFit="1" customWidth="1"/>
    <col min="5657" max="5657" width="8.875" style="1" bestFit="1" customWidth="1"/>
    <col min="5658" max="5658" width="8.5" style="1" bestFit="1" customWidth="1"/>
    <col min="5659" max="5659" width="3.75" style="1" bestFit="1" customWidth="1"/>
    <col min="5660" max="5660" width="9" style="1"/>
    <col min="5661" max="5661" width="15" style="1" bestFit="1" customWidth="1"/>
    <col min="5662" max="5662" width="24.25" style="1" bestFit="1" customWidth="1"/>
    <col min="5663" max="5888" width="9" style="1"/>
    <col min="5889" max="5889" width="12.875" style="1" bestFit="1" customWidth="1"/>
    <col min="5890" max="5890" width="6" style="1" bestFit="1" customWidth="1"/>
    <col min="5891" max="5891" width="7.5" style="1" bestFit="1" customWidth="1"/>
    <col min="5892" max="5892" width="10.875" style="1" bestFit="1" customWidth="1"/>
    <col min="5893" max="5893" width="20.75" style="1" bestFit="1" customWidth="1"/>
    <col min="5894" max="5894" width="7.5" style="1" bestFit="1" customWidth="1"/>
    <col min="5895" max="5895" width="4.5" style="1" bestFit="1" customWidth="1"/>
    <col min="5896" max="5896" width="7.5" style="1" bestFit="1" customWidth="1"/>
    <col min="5897" max="5897" width="4.5" style="1" bestFit="1" customWidth="1"/>
    <col min="5898" max="5898" width="7.5" style="1" bestFit="1" customWidth="1"/>
    <col min="5899" max="5899" width="10.125" style="1" customWidth="1"/>
    <col min="5900" max="5900" width="26.75" style="1" bestFit="1" customWidth="1"/>
    <col min="5901" max="5901" width="5.125" style="1" bestFit="1" customWidth="1"/>
    <col min="5902" max="5902" width="5.25" style="1" bestFit="1" customWidth="1"/>
    <col min="5903" max="5903" width="5.5" style="1" bestFit="1" customWidth="1"/>
    <col min="5904" max="5904" width="8.25" style="1" bestFit="1" customWidth="1"/>
    <col min="5905" max="5905" width="4.5" style="1" bestFit="1" customWidth="1"/>
    <col min="5906" max="5907" width="7.5" style="1" bestFit="1" customWidth="1"/>
    <col min="5908" max="5908" width="11.375" style="1" bestFit="1" customWidth="1"/>
    <col min="5909" max="5909" width="6" style="1" bestFit="1" customWidth="1"/>
    <col min="5910" max="5910" width="11.375" style="1" bestFit="1" customWidth="1"/>
    <col min="5911" max="5911" width="5.25" style="1" bestFit="1" customWidth="1"/>
    <col min="5912" max="5912" width="85.25" style="1" bestFit="1" customWidth="1"/>
    <col min="5913" max="5913" width="8.875" style="1" bestFit="1" customWidth="1"/>
    <col min="5914" max="5914" width="8.5" style="1" bestFit="1" customWidth="1"/>
    <col min="5915" max="5915" width="3.75" style="1" bestFit="1" customWidth="1"/>
    <col min="5916" max="5916" width="9" style="1"/>
    <col min="5917" max="5917" width="15" style="1" bestFit="1" customWidth="1"/>
    <col min="5918" max="5918" width="24.25" style="1" bestFit="1" customWidth="1"/>
    <col min="5919" max="6144" width="9" style="1"/>
    <col min="6145" max="6145" width="12.875" style="1" bestFit="1" customWidth="1"/>
    <col min="6146" max="6146" width="6" style="1" bestFit="1" customWidth="1"/>
    <col min="6147" max="6147" width="7.5" style="1" bestFit="1" customWidth="1"/>
    <col min="6148" max="6148" width="10.875" style="1" bestFit="1" customWidth="1"/>
    <col min="6149" max="6149" width="20.75" style="1" bestFit="1" customWidth="1"/>
    <col min="6150" max="6150" width="7.5" style="1" bestFit="1" customWidth="1"/>
    <col min="6151" max="6151" width="4.5" style="1" bestFit="1" customWidth="1"/>
    <col min="6152" max="6152" width="7.5" style="1" bestFit="1" customWidth="1"/>
    <col min="6153" max="6153" width="4.5" style="1" bestFit="1" customWidth="1"/>
    <col min="6154" max="6154" width="7.5" style="1" bestFit="1" customWidth="1"/>
    <col min="6155" max="6155" width="10.125" style="1" customWidth="1"/>
    <col min="6156" max="6156" width="26.75" style="1" bestFit="1" customWidth="1"/>
    <col min="6157" max="6157" width="5.125" style="1" bestFit="1" customWidth="1"/>
    <col min="6158" max="6158" width="5.25" style="1" bestFit="1" customWidth="1"/>
    <col min="6159" max="6159" width="5.5" style="1" bestFit="1" customWidth="1"/>
    <col min="6160" max="6160" width="8.25" style="1" bestFit="1" customWidth="1"/>
    <col min="6161" max="6161" width="4.5" style="1" bestFit="1" customWidth="1"/>
    <col min="6162" max="6163" width="7.5" style="1" bestFit="1" customWidth="1"/>
    <col min="6164" max="6164" width="11.375" style="1" bestFit="1" customWidth="1"/>
    <col min="6165" max="6165" width="6" style="1" bestFit="1" customWidth="1"/>
    <col min="6166" max="6166" width="11.375" style="1" bestFit="1" customWidth="1"/>
    <col min="6167" max="6167" width="5.25" style="1" bestFit="1" customWidth="1"/>
    <col min="6168" max="6168" width="85.25" style="1" bestFit="1" customWidth="1"/>
    <col min="6169" max="6169" width="8.875" style="1" bestFit="1" customWidth="1"/>
    <col min="6170" max="6170" width="8.5" style="1" bestFit="1" customWidth="1"/>
    <col min="6171" max="6171" width="3.75" style="1" bestFit="1" customWidth="1"/>
    <col min="6172" max="6172" width="9" style="1"/>
    <col min="6173" max="6173" width="15" style="1" bestFit="1" customWidth="1"/>
    <col min="6174" max="6174" width="24.25" style="1" bestFit="1" customWidth="1"/>
    <col min="6175" max="6400" width="9" style="1"/>
    <col min="6401" max="6401" width="12.875" style="1" bestFit="1" customWidth="1"/>
    <col min="6402" max="6402" width="6" style="1" bestFit="1" customWidth="1"/>
    <col min="6403" max="6403" width="7.5" style="1" bestFit="1" customWidth="1"/>
    <col min="6404" max="6404" width="10.875" style="1" bestFit="1" customWidth="1"/>
    <col min="6405" max="6405" width="20.75" style="1" bestFit="1" customWidth="1"/>
    <col min="6406" max="6406" width="7.5" style="1" bestFit="1" customWidth="1"/>
    <col min="6407" max="6407" width="4.5" style="1" bestFit="1" customWidth="1"/>
    <col min="6408" max="6408" width="7.5" style="1" bestFit="1" customWidth="1"/>
    <col min="6409" max="6409" width="4.5" style="1" bestFit="1" customWidth="1"/>
    <col min="6410" max="6410" width="7.5" style="1" bestFit="1" customWidth="1"/>
    <col min="6411" max="6411" width="10.125" style="1" customWidth="1"/>
    <col min="6412" max="6412" width="26.75" style="1" bestFit="1" customWidth="1"/>
    <col min="6413" max="6413" width="5.125" style="1" bestFit="1" customWidth="1"/>
    <col min="6414" max="6414" width="5.25" style="1" bestFit="1" customWidth="1"/>
    <col min="6415" max="6415" width="5.5" style="1" bestFit="1" customWidth="1"/>
    <col min="6416" max="6416" width="8.25" style="1" bestFit="1" customWidth="1"/>
    <col min="6417" max="6417" width="4.5" style="1" bestFit="1" customWidth="1"/>
    <col min="6418" max="6419" width="7.5" style="1" bestFit="1" customWidth="1"/>
    <col min="6420" max="6420" width="11.375" style="1" bestFit="1" customWidth="1"/>
    <col min="6421" max="6421" width="6" style="1" bestFit="1" customWidth="1"/>
    <col min="6422" max="6422" width="11.375" style="1" bestFit="1" customWidth="1"/>
    <col min="6423" max="6423" width="5.25" style="1" bestFit="1" customWidth="1"/>
    <col min="6424" max="6424" width="85.25" style="1" bestFit="1" customWidth="1"/>
    <col min="6425" max="6425" width="8.875" style="1" bestFit="1" customWidth="1"/>
    <col min="6426" max="6426" width="8.5" style="1" bestFit="1" customWidth="1"/>
    <col min="6427" max="6427" width="3.75" style="1" bestFit="1" customWidth="1"/>
    <col min="6428" max="6428" width="9" style="1"/>
    <col min="6429" max="6429" width="15" style="1" bestFit="1" customWidth="1"/>
    <col min="6430" max="6430" width="24.25" style="1" bestFit="1" customWidth="1"/>
    <col min="6431" max="6656" width="9" style="1"/>
    <col min="6657" max="6657" width="12.875" style="1" bestFit="1" customWidth="1"/>
    <col min="6658" max="6658" width="6" style="1" bestFit="1" customWidth="1"/>
    <col min="6659" max="6659" width="7.5" style="1" bestFit="1" customWidth="1"/>
    <col min="6660" max="6660" width="10.875" style="1" bestFit="1" customWidth="1"/>
    <col min="6661" max="6661" width="20.75" style="1" bestFit="1" customWidth="1"/>
    <col min="6662" max="6662" width="7.5" style="1" bestFit="1" customWidth="1"/>
    <col min="6663" max="6663" width="4.5" style="1" bestFit="1" customWidth="1"/>
    <col min="6664" max="6664" width="7.5" style="1" bestFit="1" customWidth="1"/>
    <col min="6665" max="6665" width="4.5" style="1" bestFit="1" customWidth="1"/>
    <col min="6666" max="6666" width="7.5" style="1" bestFit="1" customWidth="1"/>
    <col min="6667" max="6667" width="10.125" style="1" customWidth="1"/>
    <col min="6668" max="6668" width="26.75" style="1" bestFit="1" customWidth="1"/>
    <col min="6669" max="6669" width="5.125" style="1" bestFit="1" customWidth="1"/>
    <col min="6670" max="6670" width="5.25" style="1" bestFit="1" customWidth="1"/>
    <col min="6671" max="6671" width="5.5" style="1" bestFit="1" customWidth="1"/>
    <col min="6672" max="6672" width="8.25" style="1" bestFit="1" customWidth="1"/>
    <col min="6673" max="6673" width="4.5" style="1" bestFit="1" customWidth="1"/>
    <col min="6674" max="6675" width="7.5" style="1" bestFit="1" customWidth="1"/>
    <col min="6676" max="6676" width="11.375" style="1" bestFit="1" customWidth="1"/>
    <col min="6677" max="6677" width="6" style="1" bestFit="1" customWidth="1"/>
    <col min="6678" max="6678" width="11.375" style="1" bestFit="1" customWidth="1"/>
    <col min="6679" max="6679" width="5.25" style="1" bestFit="1" customWidth="1"/>
    <col min="6680" max="6680" width="85.25" style="1" bestFit="1" customWidth="1"/>
    <col min="6681" max="6681" width="8.875" style="1" bestFit="1" customWidth="1"/>
    <col min="6682" max="6682" width="8.5" style="1" bestFit="1" customWidth="1"/>
    <col min="6683" max="6683" width="3.75" style="1" bestFit="1" customWidth="1"/>
    <col min="6684" max="6684" width="9" style="1"/>
    <col min="6685" max="6685" width="15" style="1" bestFit="1" customWidth="1"/>
    <col min="6686" max="6686" width="24.25" style="1" bestFit="1" customWidth="1"/>
    <col min="6687" max="6912" width="9" style="1"/>
    <col min="6913" max="6913" width="12.875" style="1" bestFit="1" customWidth="1"/>
    <col min="6914" max="6914" width="6" style="1" bestFit="1" customWidth="1"/>
    <col min="6915" max="6915" width="7.5" style="1" bestFit="1" customWidth="1"/>
    <col min="6916" max="6916" width="10.875" style="1" bestFit="1" customWidth="1"/>
    <col min="6917" max="6917" width="20.75" style="1" bestFit="1" customWidth="1"/>
    <col min="6918" max="6918" width="7.5" style="1" bestFit="1" customWidth="1"/>
    <col min="6919" max="6919" width="4.5" style="1" bestFit="1" customWidth="1"/>
    <col min="6920" max="6920" width="7.5" style="1" bestFit="1" customWidth="1"/>
    <col min="6921" max="6921" width="4.5" style="1" bestFit="1" customWidth="1"/>
    <col min="6922" max="6922" width="7.5" style="1" bestFit="1" customWidth="1"/>
    <col min="6923" max="6923" width="10.125" style="1" customWidth="1"/>
    <col min="6924" max="6924" width="26.75" style="1" bestFit="1" customWidth="1"/>
    <col min="6925" max="6925" width="5.125" style="1" bestFit="1" customWidth="1"/>
    <col min="6926" max="6926" width="5.25" style="1" bestFit="1" customWidth="1"/>
    <col min="6927" max="6927" width="5.5" style="1" bestFit="1" customWidth="1"/>
    <col min="6928" max="6928" width="8.25" style="1" bestFit="1" customWidth="1"/>
    <col min="6929" max="6929" width="4.5" style="1" bestFit="1" customWidth="1"/>
    <col min="6930" max="6931" width="7.5" style="1" bestFit="1" customWidth="1"/>
    <col min="6932" max="6932" width="11.375" style="1" bestFit="1" customWidth="1"/>
    <col min="6933" max="6933" width="6" style="1" bestFit="1" customWidth="1"/>
    <col min="6934" max="6934" width="11.375" style="1" bestFit="1" customWidth="1"/>
    <col min="6935" max="6935" width="5.25" style="1" bestFit="1" customWidth="1"/>
    <col min="6936" max="6936" width="85.25" style="1" bestFit="1" customWidth="1"/>
    <col min="6937" max="6937" width="8.875" style="1" bestFit="1" customWidth="1"/>
    <col min="6938" max="6938" width="8.5" style="1" bestFit="1" customWidth="1"/>
    <col min="6939" max="6939" width="3.75" style="1" bestFit="1" customWidth="1"/>
    <col min="6940" max="6940" width="9" style="1"/>
    <col min="6941" max="6941" width="15" style="1" bestFit="1" customWidth="1"/>
    <col min="6942" max="6942" width="24.25" style="1" bestFit="1" customWidth="1"/>
    <col min="6943" max="7168" width="9" style="1"/>
    <col min="7169" max="7169" width="12.875" style="1" bestFit="1" customWidth="1"/>
    <col min="7170" max="7170" width="6" style="1" bestFit="1" customWidth="1"/>
    <col min="7171" max="7171" width="7.5" style="1" bestFit="1" customWidth="1"/>
    <col min="7172" max="7172" width="10.875" style="1" bestFit="1" customWidth="1"/>
    <col min="7173" max="7173" width="20.75" style="1" bestFit="1" customWidth="1"/>
    <col min="7174" max="7174" width="7.5" style="1" bestFit="1" customWidth="1"/>
    <col min="7175" max="7175" width="4.5" style="1" bestFit="1" customWidth="1"/>
    <col min="7176" max="7176" width="7.5" style="1" bestFit="1" customWidth="1"/>
    <col min="7177" max="7177" width="4.5" style="1" bestFit="1" customWidth="1"/>
    <col min="7178" max="7178" width="7.5" style="1" bestFit="1" customWidth="1"/>
    <col min="7179" max="7179" width="10.125" style="1" customWidth="1"/>
    <col min="7180" max="7180" width="26.75" style="1" bestFit="1" customWidth="1"/>
    <col min="7181" max="7181" width="5.125" style="1" bestFit="1" customWidth="1"/>
    <col min="7182" max="7182" width="5.25" style="1" bestFit="1" customWidth="1"/>
    <col min="7183" max="7183" width="5.5" style="1" bestFit="1" customWidth="1"/>
    <col min="7184" max="7184" width="8.25" style="1" bestFit="1" customWidth="1"/>
    <col min="7185" max="7185" width="4.5" style="1" bestFit="1" customWidth="1"/>
    <col min="7186" max="7187" width="7.5" style="1" bestFit="1" customWidth="1"/>
    <col min="7188" max="7188" width="11.375" style="1" bestFit="1" customWidth="1"/>
    <col min="7189" max="7189" width="6" style="1" bestFit="1" customWidth="1"/>
    <col min="7190" max="7190" width="11.375" style="1" bestFit="1" customWidth="1"/>
    <col min="7191" max="7191" width="5.25" style="1" bestFit="1" customWidth="1"/>
    <col min="7192" max="7192" width="85.25" style="1" bestFit="1" customWidth="1"/>
    <col min="7193" max="7193" width="8.875" style="1" bestFit="1" customWidth="1"/>
    <col min="7194" max="7194" width="8.5" style="1" bestFit="1" customWidth="1"/>
    <col min="7195" max="7195" width="3.75" style="1" bestFit="1" customWidth="1"/>
    <col min="7196" max="7196" width="9" style="1"/>
    <col min="7197" max="7197" width="15" style="1" bestFit="1" customWidth="1"/>
    <col min="7198" max="7198" width="24.25" style="1" bestFit="1" customWidth="1"/>
    <col min="7199" max="7424" width="9" style="1"/>
    <col min="7425" max="7425" width="12.875" style="1" bestFit="1" customWidth="1"/>
    <col min="7426" max="7426" width="6" style="1" bestFit="1" customWidth="1"/>
    <col min="7427" max="7427" width="7.5" style="1" bestFit="1" customWidth="1"/>
    <col min="7428" max="7428" width="10.875" style="1" bestFit="1" customWidth="1"/>
    <col min="7429" max="7429" width="20.75" style="1" bestFit="1" customWidth="1"/>
    <col min="7430" max="7430" width="7.5" style="1" bestFit="1" customWidth="1"/>
    <col min="7431" max="7431" width="4.5" style="1" bestFit="1" customWidth="1"/>
    <col min="7432" max="7432" width="7.5" style="1" bestFit="1" customWidth="1"/>
    <col min="7433" max="7433" width="4.5" style="1" bestFit="1" customWidth="1"/>
    <col min="7434" max="7434" width="7.5" style="1" bestFit="1" customWidth="1"/>
    <col min="7435" max="7435" width="10.125" style="1" customWidth="1"/>
    <col min="7436" max="7436" width="26.75" style="1" bestFit="1" customWidth="1"/>
    <col min="7437" max="7437" width="5.125" style="1" bestFit="1" customWidth="1"/>
    <col min="7438" max="7438" width="5.25" style="1" bestFit="1" customWidth="1"/>
    <col min="7439" max="7439" width="5.5" style="1" bestFit="1" customWidth="1"/>
    <col min="7440" max="7440" width="8.25" style="1" bestFit="1" customWidth="1"/>
    <col min="7441" max="7441" width="4.5" style="1" bestFit="1" customWidth="1"/>
    <col min="7442" max="7443" width="7.5" style="1" bestFit="1" customWidth="1"/>
    <col min="7444" max="7444" width="11.375" style="1" bestFit="1" customWidth="1"/>
    <col min="7445" max="7445" width="6" style="1" bestFit="1" customWidth="1"/>
    <col min="7446" max="7446" width="11.375" style="1" bestFit="1" customWidth="1"/>
    <col min="7447" max="7447" width="5.25" style="1" bestFit="1" customWidth="1"/>
    <col min="7448" max="7448" width="85.25" style="1" bestFit="1" customWidth="1"/>
    <col min="7449" max="7449" width="8.875" style="1" bestFit="1" customWidth="1"/>
    <col min="7450" max="7450" width="8.5" style="1" bestFit="1" customWidth="1"/>
    <col min="7451" max="7451" width="3.75" style="1" bestFit="1" customWidth="1"/>
    <col min="7452" max="7452" width="9" style="1"/>
    <col min="7453" max="7453" width="15" style="1" bestFit="1" customWidth="1"/>
    <col min="7454" max="7454" width="24.25" style="1" bestFit="1" customWidth="1"/>
    <col min="7455" max="7680" width="9" style="1"/>
    <col min="7681" max="7681" width="12.875" style="1" bestFit="1" customWidth="1"/>
    <col min="7682" max="7682" width="6" style="1" bestFit="1" customWidth="1"/>
    <col min="7683" max="7683" width="7.5" style="1" bestFit="1" customWidth="1"/>
    <col min="7684" max="7684" width="10.875" style="1" bestFit="1" customWidth="1"/>
    <col min="7685" max="7685" width="20.75" style="1" bestFit="1" customWidth="1"/>
    <col min="7686" max="7686" width="7.5" style="1" bestFit="1" customWidth="1"/>
    <col min="7687" max="7687" width="4.5" style="1" bestFit="1" customWidth="1"/>
    <col min="7688" max="7688" width="7.5" style="1" bestFit="1" customWidth="1"/>
    <col min="7689" max="7689" width="4.5" style="1" bestFit="1" customWidth="1"/>
    <col min="7690" max="7690" width="7.5" style="1" bestFit="1" customWidth="1"/>
    <col min="7691" max="7691" width="10.125" style="1" customWidth="1"/>
    <col min="7692" max="7692" width="26.75" style="1" bestFit="1" customWidth="1"/>
    <col min="7693" max="7693" width="5.125" style="1" bestFit="1" customWidth="1"/>
    <col min="7694" max="7694" width="5.25" style="1" bestFit="1" customWidth="1"/>
    <col min="7695" max="7695" width="5.5" style="1" bestFit="1" customWidth="1"/>
    <col min="7696" max="7696" width="8.25" style="1" bestFit="1" customWidth="1"/>
    <col min="7697" max="7697" width="4.5" style="1" bestFit="1" customWidth="1"/>
    <col min="7698" max="7699" width="7.5" style="1" bestFit="1" customWidth="1"/>
    <col min="7700" max="7700" width="11.375" style="1" bestFit="1" customWidth="1"/>
    <col min="7701" max="7701" width="6" style="1" bestFit="1" customWidth="1"/>
    <col min="7702" max="7702" width="11.375" style="1" bestFit="1" customWidth="1"/>
    <col min="7703" max="7703" width="5.25" style="1" bestFit="1" customWidth="1"/>
    <col min="7704" max="7704" width="85.25" style="1" bestFit="1" customWidth="1"/>
    <col min="7705" max="7705" width="8.875" style="1" bestFit="1" customWidth="1"/>
    <col min="7706" max="7706" width="8.5" style="1" bestFit="1" customWidth="1"/>
    <col min="7707" max="7707" width="3.75" style="1" bestFit="1" customWidth="1"/>
    <col min="7708" max="7708" width="9" style="1"/>
    <col min="7709" max="7709" width="15" style="1" bestFit="1" customWidth="1"/>
    <col min="7710" max="7710" width="24.25" style="1" bestFit="1" customWidth="1"/>
    <col min="7711" max="7936" width="9" style="1"/>
    <col min="7937" max="7937" width="12.875" style="1" bestFit="1" customWidth="1"/>
    <col min="7938" max="7938" width="6" style="1" bestFit="1" customWidth="1"/>
    <col min="7939" max="7939" width="7.5" style="1" bestFit="1" customWidth="1"/>
    <col min="7940" max="7940" width="10.875" style="1" bestFit="1" customWidth="1"/>
    <col min="7941" max="7941" width="20.75" style="1" bestFit="1" customWidth="1"/>
    <col min="7942" max="7942" width="7.5" style="1" bestFit="1" customWidth="1"/>
    <col min="7943" max="7943" width="4.5" style="1" bestFit="1" customWidth="1"/>
    <col min="7944" max="7944" width="7.5" style="1" bestFit="1" customWidth="1"/>
    <col min="7945" max="7945" width="4.5" style="1" bestFit="1" customWidth="1"/>
    <col min="7946" max="7946" width="7.5" style="1" bestFit="1" customWidth="1"/>
    <col min="7947" max="7947" width="10.125" style="1" customWidth="1"/>
    <col min="7948" max="7948" width="26.75" style="1" bestFit="1" customWidth="1"/>
    <col min="7949" max="7949" width="5.125" style="1" bestFit="1" customWidth="1"/>
    <col min="7950" max="7950" width="5.25" style="1" bestFit="1" customWidth="1"/>
    <col min="7951" max="7951" width="5.5" style="1" bestFit="1" customWidth="1"/>
    <col min="7952" max="7952" width="8.25" style="1" bestFit="1" customWidth="1"/>
    <col min="7953" max="7953" width="4.5" style="1" bestFit="1" customWidth="1"/>
    <col min="7954" max="7955" width="7.5" style="1" bestFit="1" customWidth="1"/>
    <col min="7956" max="7956" width="11.375" style="1" bestFit="1" customWidth="1"/>
    <col min="7957" max="7957" width="6" style="1" bestFit="1" customWidth="1"/>
    <col min="7958" max="7958" width="11.375" style="1" bestFit="1" customWidth="1"/>
    <col min="7959" max="7959" width="5.25" style="1" bestFit="1" customWidth="1"/>
    <col min="7960" max="7960" width="85.25" style="1" bestFit="1" customWidth="1"/>
    <col min="7961" max="7961" width="8.875" style="1" bestFit="1" customWidth="1"/>
    <col min="7962" max="7962" width="8.5" style="1" bestFit="1" customWidth="1"/>
    <col min="7963" max="7963" width="3.75" style="1" bestFit="1" customWidth="1"/>
    <col min="7964" max="7964" width="9" style="1"/>
    <col min="7965" max="7965" width="15" style="1" bestFit="1" customWidth="1"/>
    <col min="7966" max="7966" width="24.25" style="1" bestFit="1" customWidth="1"/>
    <col min="7967" max="8192" width="9" style="1"/>
    <col min="8193" max="8193" width="12.875" style="1" bestFit="1" customWidth="1"/>
    <col min="8194" max="8194" width="6" style="1" bestFit="1" customWidth="1"/>
    <col min="8195" max="8195" width="7.5" style="1" bestFit="1" customWidth="1"/>
    <col min="8196" max="8196" width="10.875" style="1" bestFit="1" customWidth="1"/>
    <col min="8197" max="8197" width="20.75" style="1" bestFit="1" customWidth="1"/>
    <col min="8198" max="8198" width="7.5" style="1" bestFit="1" customWidth="1"/>
    <col min="8199" max="8199" width="4.5" style="1" bestFit="1" customWidth="1"/>
    <col min="8200" max="8200" width="7.5" style="1" bestFit="1" customWidth="1"/>
    <col min="8201" max="8201" width="4.5" style="1" bestFit="1" customWidth="1"/>
    <col min="8202" max="8202" width="7.5" style="1" bestFit="1" customWidth="1"/>
    <col min="8203" max="8203" width="10.125" style="1" customWidth="1"/>
    <col min="8204" max="8204" width="26.75" style="1" bestFit="1" customWidth="1"/>
    <col min="8205" max="8205" width="5.125" style="1" bestFit="1" customWidth="1"/>
    <col min="8206" max="8206" width="5.25" style="1" bestFit="1" customWidth="1"/>
    <col min="8207" max="8207" width="5.5" style="1" bestFit="1" customWidth="1"/>
    <col min="8208" max="8208" width="8.25" style="1" bestFit="1" customWidth="1"/>
    <col min="8209" max="8209" width="4.5" style="1" bestFit="1" customWidth="1"/>
    <col min="8210" max="8211" width="7.5" style="1" bestFit="1" customWidth="1"/>
    <col min="8212" max="8212" width="11.375" style="1" bestFit="1" customWidth="1"/>
    <col min="8213" max="8213" width="6" style="1" bestFit="1" customWidth="1"/>
    <col min="8214" max="8214" width="11.375" style="1" bestFit="1" customWidth="1"/>
    <col min="8215" max="8215" width="5.25" style="1" bestFit="1" customWidth="1"/>
    <col min="8216" max="8216" width="85.25" style="1" bestFit="1" customWidth="1"/>
    <col min="8217" max="8217" width="8.875" style="1" bestFit="1" customWidth="1"/>
    <col min="8218" max="8218" width="8.5" style="1" bestFit="1" customWidth="1"/>
    <col min="8219" max="8219" width="3.75" style="1" bestFit="1" customWidth="1"/>
    <col min="8220" max="8220" width="9" style="1"/>
    <col min="8221" max="8221" width="15" style="1" bestFit="1" customWidth="1"/>
    <col min="8222" max="8222" width="24.25" style="1" bestFit="1" customWidth="1"/>
    <col min="8223" max="8448" width="9" style="1"/>
    <col min="8449" max="8449" width="12.875" style="1" bestFit="1" customWidth="1"/>
    <col min="8450" max="8450" width="6" style="1" bestFit="1" customWidth="1"/>
    <col min="8451" max="8451" width="7.5" style="1" bestFit="1" customWidth="1"/>
    <col min="8452" max="8452" width="10.875" style="1" bestFit="1" customWidth="1"/>
    <col min="8453" max="8453" width="20.75" style="1" bestFit="1" customWidth="1"/>
    <col min="8454" max="8454" width="7.5" style="1" bestFit="1" customWidth="1"/>
    <col min="8455" max="8455" width="4.5" style="1" bestFit="1" customWidth="1"/>
    <col min="8456" max="8456" width="7.5" style="1" bestFit="1" customWidth="1"/>
    <col min="8457" max="8457" width="4.5" style="1" bestFit="1" customWidth="1"/>
    <col min="8458" max="8458" width="7.5" style="1" bestFit="1" customWidth="1"/>
    <col min="8459" max="8459" width="10.125" style="1" customWidth="1"/>
    <col min="8460" max="8460" width="26.75" style="1" bestFit="1" customWidth="1"/>
    <col min="8461" max="8461" width="5.125" style="1" bestFit="1" customWidth="1"/>
    <col min="8462" max="8462" width="5.25" style="1" bestFit="1" customWidth="1"/>
    <col min="8463" max="8463" width="5.5" style="1" bestFit="1" customWidth="1"/>
    <col min="8464" max="8464" width="8.25" style="1" bestFit="1" customWidth="1"/>
    <col min="8465" max="8465" width="4.5" style="1" bestFit="1" customWidth="1"/>
    <col min="8466" max="8467" width="7.5" style="1" bestFit="1" customWidth="1"/>
    <col min="8468" max="8468" width="11.375" style="1" bestFit="1" customWidth="1"/>
    <col min="8469" max="8469" width="6" style="1" bestFit="1" customWidth="1"/>
    <col min="8470" max="8470" width="11.375" style="1" bestFit="1" customWidth="1"/>
    <col min="8471" max="8471" width="5.25" style="1" bestFit="1" customWidth="1"/>
    <col min="8472" max="8472" width="85.25" style="1" bestFit="1" customWidth="1"/>
    <col min="8473" max="8473" width="8.875" style="1" bestFit="1" customWidth="1"/>
    <col min="8474" max="8474" width="8.5" style="1" bestFit="1" customWidth="1"/>
    <col min="8475" max="8475" width="3.75" style="1" bestFit="1" customWidth="1"/>
    <col min="8476" max="8476" width="9" style="1"/>
    <col min="8477" max="8477" width="15" style="1" bestFit="1" customWidth="1"/>
    <col min="8478" max="8478" width="24.25" style="1" bestFit="1" customWidth="1"/>
    <col min="8479" max="8704" width="9" style="1"/>
    <col min="8705" max="8705" width="12.875" style="1" bestFit="1" customWidth="1"/>
    <col min="8706" max="8706" width="6" style="1" bestFit="1" customWidth="1"/>
    <col min="8707" max="8707" width="7.5" style="1" bestFit="1" customWidth="1"/>
    <col min="8708" max="8708" width="10.875" style="1" bestFit="1" customWidth="1"/>
    <col min="8709" max="8709" width="20.75" style="1" bestFit="1" customWidth="1"/>
    <col min="8710" max="8710" width="7.5" style="1" bestFit="1" customWidth="1"/>
    <col min="8711" max="8711" width="4.5" style="1" bestFit="1" customWidth="1"/>
    <col min="8712" max="8712" width="7.5" style="1" bestFit="1" customWidth="1"/>
    <col min="8713" max="8713" width="4.5" style="1" bestFit="1" customWidth="1"/>
    <col min="8714" max="8714" width="7.5" style="1" bestFit="1" customWidth="1"/>
    <col min="8715" max="8715" width="10.125" style="1" customWidth="1"/>
    <col min="8716" max="8716" width="26.75" style="1" bestFit="1" customWidth="1"/>
    <col min="8717" max="8717" width="5.125" style="1" bestFit="1" customWidth="1"/>
    <col min="8718" max="8718" width="5.25" style="1" bestFit="1" customWidth="1"/>
    <col min="8719" max="8719" width="5.5" style="1" bestFit="1" customWidth="1"/>
    <col min="8720" max="8720" width="8.25" style="1" bestFit="1" customWidth="1"/>
    <col min="8721" max="8721" width="4.5" style="1" bestFit="1" customWidth="1"/>
    <col min="8722" max="8723" width="7.5" style="1" bestFit="1" customWidth="1"/>
    <col min="8724" max="8724" width="11.375" style="1" bestFit="1" customWidth="1"/>
    <col min="8725" max="8725" width="6" style="1" bestFit="1" customWidth="1"/>
    <col min="8726" max="8726" width="11.375" style="1" bestFit="1" customWidth="1"/>
    <col min="8727" max="8727" width="5.25" style="1" bestFit="1" customWidth="1"/>
    <col min="8728" max="8728" width="85.25" style="1" bestFit="1" customWidth="1"/>
    <col min="8729" max="8729" width="8.875" style="1" bestFit="1" customWidth="1"/>
    <col min="8730" max="8730" width="8.5" style="1" bestFit="1" customWidth="1"/>
    <col min="8731" max="8731" width="3.75" style="1" bestFit="1" customWidth="1"/>
    <col min="8732" max="8732" width="9" style="1"/>
    <col min="8733" max="8733" width="15" style="1" bestFit="1" customWidth="1"/>
    <col min="8734" max="8734" width="24.25" style="1" bestFit="1" customWidth="1"/>
    <col min="8735" max="8960" width="9" style="1"/>
    <col min="8961" max="8961" width="12.875" style="1" bestFit="1" customWidth="1"/>
    <col min="8962" max="8962" width="6" style="1" bestFit="1" customWidth="1"/>
    <col min="8963" max="8963" width="7.5" style="1" bestFit="1" customWidth="1"/>
    <col min="8964" max="8964" width="10.875" style="1" bestFit="1" customWidth="1"/>
    <col min="8965" max="8965" width="20.75" style="1" bestFit="1" customWidth="1"/>
    <col min="8966" max="8966" width="7.5" style="1" bestFit="1" customWidth="1"/>
    <col min="8967" max="8967" width="4.5" style="1" bestFit="1" customWidth="1"/>
    <col min="8968" max="8968" width="7.5" style="1" bestFit="1" customWidth="1"/>
    <col min="8969" max="8969" width="4.5" style="1" bestFit="1" customWidth="1"/>
    <col min="8970" max="8970" width="7.5" style="1" bestFit="1" customWidth="1"/>
    <col min="8971" max="8971" width="10.125" style="1" customWidth="1"/>
    <col min="8972" max="8972" width="26.75" style="1" bestFit="1" customWidth="1"/>
    <col min="8973" max="8973" width="5.125" style="1" bestFit="1" customWidth="1"/>
    <col min="8974" max="8974" width="5.25" style="1" bestFit="1" customWidth="1"/>
    <col min="8975" max="8975" width="5.5" style="1" bestFit="1" customWidth="1"/>
    <col min="8976" max="8976" width="8.25" style="1" bestFit="1" customWidth="1"/>
    <col min="8977" max="8977" width="4.5" style="1" bestFit="1" customWidth="1"/>
    <col min="8978" max="8979" width="7.5" style="1" bestFit="1" customWidth="1"/>
    <col min="8980" max="8980" width="11.375" style="1" bestFit="1" customWidth="1"/>
    <col min="8981" max="8981" width="6" style="1" bestFit="1" customWidth="1"/>
    <col min="8982" max="8982" width="11.375" style="1" bestFit="1" customWidth="1"/>
    <col min="8983" max="8983" width="5.25" style="1" bestFit="1" customWidth="1"/>
    <col min="8984" max="8984" width="85.25" style="1" bestFit="1" customWidth="1"/>
    <col min="8985" max="8985" width="8.875" style="1" bestFit="1" customWidth="1"/>
    <col min="8986" max="8986" width="8.5" style="1" bestFit="1" customWidth="1"/>
    <col min="8987" max="8987" width="3.75" style="1" bestFit="1" customWidth="1"/>
    <col min="8988" max="8988" width="9" style="1"/>
    <col min="8989" max="8989" width="15" style="1" bestFit="1" customWidth="1"/>
    <col min="8990" max="8990" width="24.25" style="1" bestFit="1" customWidth="1"/>
    <col min="8991" max="9216" width="9" style="1"/>
    <col min="9217" max="9217" width="12.875" style="1" bestFit="1" customWidth="1"/>
    <col min="9218" max="9218" width="6" style="1" bestFit="1" customWidth="1"/>
    <col min="9219" max="9219" width="7.5" style="1" bestFit="1" customWidth="1"/>
    <col min="9220" max="9220" width="10.875" style="1" bestFit="1" customWidth="1"/>
    <col min="9221" max="9221" width="20.75" style="1" bestFit="1" customWidth="1"/>
    <col min="9222" max="9222" width="7.5" style="1" bestFit="1" customWidth="1"/>
    <col min="9223" max="9223" width="4.5" style="1" bestFit="1" customWidth="1"/>
    <col min="9224" max="9224" width="7.5" style="1" bestFit="1" customWidth="1"/>
    <col min="9225" max="9225" width="4.5" style="1" bestFit="1" customWidth="1"/>
    <col min="9226" max="9226" width="7.5" style="1" bestFit="1" customWidth="1"/>
    <col min="9227" max="9227" width="10.125" style="1" customWidth="1"/>
    <col min="9228" max="9228" width="26.75" style="1" bestFit="1" customWidth="1"/>
    <col min="9229" max="9229" width="5.125" style="1" bestFit="1" customWidth="1"/>
    <col min="9230" max="9230" width="5.25" style="1" bestFit="1" customWidth="1"/>
    <col min="9231" max="9231" width="5.5" style="1" bestFit="1" customWidth="1"/>
    <col min="9232" max="9232" width="8.25" style="1" bestFit="1" customWidth="1"/>
    <col min="9233" max="9233" width="4.5" style="1" bestFit="1" customWidth="1"/>
    <col min="9234" max="9235" width="7.5" style="1" bestFit="1" customWidth="1"/>
    <col min="9236" max="9236" width="11.375" style="1" bestFit="1" customWidth="1"/>
    <col min="9237" max="9237" width="6" style="1" bestFit="1" customWidth="1"/>
    <col min="9238" max="9238" width="11.375" style="1" bestFit="1" customWidth="1"/>
    <col min="9239" max="9239" width="5.25" style="1" bestFit="1" customWidth="1"/>
    <col min="9240" max="9240" width="85.25" style="1" bestFit="1" customWidth="1"/>
    <col min="9241" max="9241" width="8.875" style="1" bestFit="1" customWidth="1"/>
    <col min="9242" max="9242" width="8.5" style="1" bestFit="1" customWidth="1"/>
    <col min="9243" max="9243" width="3.75" style="1" bestFit="1" customWidth="1"/>
    <col min="9244" max="9244" width="9" style="1"/>
    <col min="9245" max="9245" width="15" style="1" bestFit="1" customWidth="1"/>
    <col min="9246" max="9246" width="24.25" style="1" bestFit="1" customWidth="1"/>
    <col min="9247" max="9472" width="9" style="1"/>
    <col min="9473" max="9473" width="12.875" style="1" bestFit="1" customWidth="1"/>
    <col min="9474" max="9474" width="6" style="1" bestFit="1" customWidth="1"/>
    <col min="9475" max="9475" width="7.5" style="1" bestFit="1" customWidth="1"/>
    <col min="9476" max="9476" width="10.875" style="1" bestFit="1" customWidth="1"/>
    <col min="9477" max="9477" width="20.75" style="1" bestFit="1" customWidth="1"/>
    <col min="9478" max="9478" width="7.5" style="1" bestFit="1" customWidth="1"/>
    <col min="9479" max="9479" width="4.5" style="1" bestFit="1" customWidth="1"/>
    <col min="9480" max="9480" width="7.5" style="1" bestFit="1" customWidth="1"/>
    <col min="9481" max="9481" width="4.5" style="1" bestFit="1" customWidth="1"/>
    <col min="9482" max="9482" width="7.5" style="1" bestFit="1" customWidth="1"/>
    <col min="9483" max="9483" width="10.125" style="1" customWidth="1"/>
    <col min="9484" max="9484" width="26.75" style="1" bestFit="1" customWidth="1"/>
    <col min="9485" max="9485" width="5.125" style="1" bestFit="1" customWidth="1"/>
    <col min="9486" max="9486" width="5.25" style="1" bestFit="1" customWidth="1"/>
    <col min="9487" max="9487" width="5.5" style="1" bestFit="1" customWidth="1"/>
    <col min="9488" max="9488" width="8.25" style="1" bestFit="1" customWidth="1"/>
    <col min="9489" max="9489" width="4.5" style="1" bestFit="1" customWidth="1"/>
    <col min="9490" max="9491" width="7.5" style="1" bestFit="1" customWidth="1"/>
    <col min="9492" max="9492" width="11.375" style="1" bestFit="1" customWidth="1"/>
    <col min="9493" max="9493" width="6" style="1" bestFit="1" customWidth="1"/>
    <col min="9494" max="9494" width="11.375" style="1" bestFit="1" customWidth="1"/>
    <col min="9495" max="9495" width="5.25" style="1" bestFit="1" customWidth="1"/>
    <col min="9496" max="9496" width="85.25" style="1" bestFit="1" customWidth="1"/>
    <col min="9497" max="9497" width="8.875" style="1" bestFit="1" customWidth="1"/>
    <col min="9498" max="9498" width="8.5" style="1" bestFit="1" customWidth="1"/>
    <col min="9499" max="9499" width="3.75" style="1" bestFit="1" customWidth="1"/>
    <col min="9500" max="9500" width="9" style="1"/>
    <col min="9501" max="9501" width="15" style="1" bestFit="1" customWidth="1"/>
    <col min="9502" max="9502" width="24.25" style="1" bestFit="1" customWidth="1"/>
    <col min="9503" max="9728" width="9" style="1"/>
    <col min="9729" max="9729" width="12.875" style="1" bestFit="1" customWidth="1"/>
    <col min="9730" max="9730" width="6" style="1" bestFit="1" customWidth="1"/>
    <col min="9731" max="9731" width="7.5" style="1" bestFit="1" customWidth="1"/>
    <col min="9732" max="9732" width="10.875" style="1" bestFit="1" customWidth="1"/>
    <col min="9733" max="9733" width="20.75" style="1" bestFit="1" customWidth="1"/>
    <col min="9734" max="9734" width="7.5" style="1" bestFit="1" customWidth="1"/>
    <col min="9735" max="9735" width="4.5" style="1" bestFit="1" customWidth="1"/>
    <col min="9736" max="9736" width="7.5" style="1" bestFit="1" customWidth="1"/>
    <col min="9737" max="9737" width="4.5" style="1" bestFit="1" customWidth="1"/>
    <col min="9738" max="9738" width="7.5" style="1" bestFit="1" customWidth="1"/>
    <col min="9739" max="9739" width="10.125" style="1" customWidth="1"/>
    <col min="9740" max="9740" width="26.75" style="1" bestFit="1" customWidth="1"/>
    <col min="9741" max="9741" width="5.125" style="1" bestFit="1" customWidth="1"/>
    <col min="9742" max="9742" width="5.25" style="1" bestFit="1" customWidth="1"/>
    <col min="9743" max="9743" width="5.5" style="1" bestFit="1" customWidth="1"/>
    <col min="9744" max="9744" width="8.25" style="1" bestFit="1" customWidth="1"/>
    <col min="9745" max="9745" width="4.5" style="1" bestFit="1" customWidth="1"/>
    <col min="9746" max="9747" width="7.5" style="1" bestFit="1" customWidth="1"/>
    <col min="9748" max="9748" width="11.375" style="1" bestFit="1" customWidth="1"/>
    <col min="9749" max="9749" width="6" style="1" bestFit="1" customWidth="1"/>
    <col min="9750" max="9750" width="11.375" style="1" bestFit="1" customWidth="1"/>
    <col min="9751" max="9751" width="5.25" style="1" bestFit="1" customWidth="1"/>
    <col min="9752" max="9752" width="85.25" style="1" bestFit="1" customWidth="1"/>
    <col min="9753" max="9753" width="8.875" style="1" bestFit="1" customWidth="1"/>
    <col min="9754" max="9754" width="8.5" style="1" bestFit="1" customWidth="1"/>
    <col min="9755" max="9755" width="3.75" style="1" bestFit="1" customWidth="1"/>
    <col min="9756" max="9756" width="9" style="1"/>
    <col min="9757" max="9757" width="15" style="1" bestFit="1" customWidth="1"/>
    <col min="9758" max="9758" width="24.25" style="1" bestFit="1" customWidth="1"/>
    <col min="9759" max="9984" width="9" style="1"/>
    <col min="9985" max="9985" width="12.875" style="1" bestFit="1" customWidth="1"/>
    <col min="9986" max="9986" width="6" style="1" bestFit="1" customWidth="1"/>
    <col min="9987" max="9987" width="7.5" style="1" bestFit="1" customWidth="1"/>
    <col min="9988" max="9988" width="10.875" style="1" bestFit="1" customWidth="1"/>
    <col min="9989" max="9989" width="20.75" style="1" bestFit="1" customWidth="1"/>
    <col min="9990" max="9990" width="7.5" style="1" bestFit="1" customWidth="1"/>
    <col min="9991" max="9991" width="4.5" style="1" bestFit="1" customWidth="1"/>
    <col min="9992" max="9992" width="7.5" style="1" bestFit="1" customWidth="1"/>
    <col min="9993" max="9993" width="4.5" style="1" bestFit="1" customWidth="1"/>
    <col min="9994" max="9994" width="7.5" style="1" bestFit="1" customWidth="1"/>
    <col min="9995" max="9995" width="10.125" style="1" customWidth="1"/>
    <col min="9996" max="9996" width="26.75" style="1" bestFit="1" customWidth="1"/>
    <col min="9997" max="9997" width="5.125" style="1" bestFit="1" customWidth="1"/>
    <col min="9998" max="9998" width="5.25" style="1" bestFit="1" customWidth="1"/>
    <col min="9999" max="9999" width="5.5" style="1" bestFit="1" customWidth="1"/>
    <col min="10000" max="10000" width="8.25" style="1" bestFit="1" customWidth="1"/>
    <col min="10001" max="10001" width="4.5" style="1" bestFit="1" customWidth="1"/>
    <col min="10002" max="10003" width="7.5" style="1" bestFit="1" customWidth="1"/>
    <col min="10004" max="10004" width="11.375" style="1" bestFit="1" customWidth="1"/>
    <col min="10005" max="10005" width="6" style="1" bestFit="1" customWidth="1"/>
    <col min="10006" max="10006" width="11.375" style="1" bestFit="1" customWidth="1"/>
    <col min="10007" max="10007" width="5.25" style="1" bestFit="1" customWidth="1"/>
    <col min="10008" max="10008" width="85.25" style="1" bestFit="1" customWidth="1"/>
    <col min="10009" max="10009" width="8.875" style="1" bestFit="1" customWidth="1"/>
    <col min="10010" max="10010" width="8.5" style="1" bestFit="1" customWidth="1"/>
    <col min="10011" max="10011" width="3.75" style="1" bestFit="1" customWidth="1"/>
    <col min="10012" max="10012" width="9" style="1"/>
    <col min="10013" max="10013" width="15" style="1" bestFit="1" customWidth="1"/>
    <col min="10014" max="10014" width="24.25" style="1" bestFit="1" customWidth="1"/>
    <col min="10015" max="10240" width="9" style="1"/>
    <col min="10241" max="10241" width="12.875" style="1" bestFit="1" customWidth="1"/>
    <col min="10242" max="10242" width="6" style="1" bestFit="1" customWidth="1"/>
    <col min="10243" max="10243" width="7.5" style="1" bestFit="1" customWidth="1"/>
    <col min="10244" max="10244" width="10.875" style="1" bestFit="1" customWidth="1"/>
    <col min="10245" max="10245" width="20.75" style="1" bestFit="1" customWidth="1"/>
    <col min="10246" max="10246" width="7.5" style="1" bestFit="1" customWidth="1"/>
    <col min="10247" max="10247" width="4.5" style="1" bestFit="1" customWidth="1"/>
    <col min="10248" max="10248" width="7.5" style="1" bestFit="1" customWidth="1"/>
    <col min="10249" max="10249" width="4.5" style="1" bestFit="1" customWidth="1"/>
    <col min="10250" max="10250" width="7.5" style="1" bestFit="1" customWidth="1"/>
    <col min="10251" max="10251" width="10.125" style="1" customWidth="1"/>
    <col min="10252" max="10252" width="26.75" style="1" bestFit="1" customWidth="1"/>
    <col min="10253" max="10253" width="5.125" style="1" bestFit="1" customWidth="1"/>
    <col min="10254" max="10254" width="5.25" style="1" bestFit="1" customWidth="1"/>
    <col min="10255" max="10255" width="5.5" style="1" bestFit="1" customWidth="1"/>
    <col min="10256" max="10256" width="8.25" style="1" bestFit="1" customWidth="1"/>
    <col min="10257" max="10257" width="4.5" style="1" bestFit="1" customWidth="1"/>
    <col min="10258" max="10259" width="7.5" style="1" bestFit="1" customWidth="1"/>
    <col min="10260" max="10260" width="11.375" style="1" bestFit="1" customWidth="1"/>
    <col min="10261" max="10261" width="6" style="1" bestFit="1" customWidth="1"/>
    <col min="10262" max="10262" width="11.375" style="1" bestFit="1" customWidth="1"/>
    <col min="10263" max="10263" width="5.25" style="1" bestFit="1" customWidth="1"/>
    <col min="10264" max="10264" width="85.25" style="1" bestFit="1" customWidth="1"/>
    <col min="10265" max="10265" width="8.875" style="1" bestFit="1" customWidth="1"/>
    <col min="10266" max="10266" width="8.5" style="1" bestFit="1" customWidth="1"/>
    <col min="10267" max="10267" width="3.75" style="1" bestFit="1" customWidth="1"/>
    <col min="10268" max="10268" width="9" style="1"/>
    <col min="10269" max="10269" width="15" style="1" bestFit="1" customWidth="1"/>
    <col min="10270" max="10270" width="24.25" style="1" bestFit="1" customWidth="1"/>
    <col min="10271" max="10496" width="9" style="1"/>
    <col min="10497" max="10497" width="12.875" style="1" bestFit="1" customWidth="1"/>
    <col min="10498" max="10498" width="6" style="1" bestFit="1" customWidth="1"/>
    <col min="10499" max="10499" width="7.5" style="1" bestFit="1" customWidth="1"/>
    <col min="10500" max="10500" width="10.875" style="1" bestFit="1" customWidth="1"/>
    <col min="10501" max="10501" width="20.75" style="1" bestFit="1" customWidth="1"/>
    <col min="10502" max="10502" width="7.5" style="1" bestFit="1" customWidth="1"/>
    <col min="10503" max="10503" width="4.5" style="1" bestFit="1" customWidth="1"/>
    <col min="10504" max="10504" width="7.5" style="1" bestFit="1" customWidth="1"/>
    <col min="10505" max="10505" width="4.5" style="1" bestFit="1" customWidth="1"/>
    <col min="10506" max="10506" width="7.5" style="1" bestFit="1" customWidth="1"/>
    <col min="10507" max="10507" width="10.125" style="1" customWidth="1"/>
    <col min="10508" max="10508" width="26.75" style="1" bestFit="1" customWidth="1"/>
    <col min="10509" max="10509" width="5.125" style="1" bestFit="1" customWidth="1"/>
    <col min="10510" max="10510" width="5.25" style="1" bestFit="1" customWidth="1"/>
    <col min="10511" max="10511" width="5.5" style="1" bestFit="1" customWidth="1"/>
    <col min="10512" max="10512" width="8.25" style="1" bestFit="1" customWidth="1"/>
    <col min="10513" max="10513" width="4.5" style="1" bestFit="1" customWidth="1"/>
    <col min="10514" max="10515" width="7.5" style="1" bestFit="1" customWidth="1"/>
    <col min="10516" max="10516" width="11.375" style="1" bestFit="1" customWidth="1"/>
    <col min="10517" max="10517" width="6" style="1" bestFit="1" customWidth="1"/>
    <col min="10518" max="10518" width="11.375" style="1" bestFit="1" customWidth="1"/>
    <col min="10519" max="10519" width="5.25" style="1" bestFit="1" customWidth="1"/>
    <col min="10520" max="10520" width="85.25" style="1" bestFit="1" customWidth="1"/>
    <col min="10521" max="10521" width="8.875" style="1" bestFit="1" customWidth="1"/>
    <col min="10522" max="10522" width="8.5" style="1" bestFit="1" customWidth="1"/>
    <col min="10523" max="10523" width="3.75" style="1" bestFit="1" customWidth="1"/>
    <col min="10524" max="10524" width="9" style="1"/>
    <col min="10525" max="10525" width="15" style="1" bestFit="1" customWidth="1"/>
    <col min="10526" max="10526" width="24.25" style="1" bestFit="1" customWidth="1"/>
    <col min="10527" max="10752" width="9" style="1"/>
    <col min="10753" max="10753" width="12.875" style="1" bestFit="1" customWidth="1"/>
    <col min="10754" max="10754" width="6" style="1" bestFit="1" customWidth="1"/>
    <col min="10755" max="10755" width="7.5" style="1" bestFit="1" customWidth="1"/>
    <col min="10756" max="10756" width="10.875" style="1" bestFit="1" customWidth="1"/>
    <col min="10757" max="10757" width="20.75" style="1" bestFit="1" customWidth="1"/>
    <col min="10758" max="10758" width="7.5" style="1" bestFit="1" customWidth="1"/>
    <col min="10759" max="10759" width="4.5" style="1" bestFit="1" customWidth="1"/>
    <col min="10760" max="10760" width="7.5" style="1" bestFit="1" customWidth="1"/>
    <col min="10761" max="10761" width="4.5" style="1" bestFit="1" customWidth="1"/>
    <col min="10762" max="10762" width="7.5" style="1" bestFit="1" customWidth="1"/>
    <col min="10763" max="10763" width="10.125" style="1" customWidth="1"/>
    <col min="10764" max="10764" width="26.75" style="1" bestFit="1" customWidth="1"/>
    <col min="10765" max="10765" width="5.125" style="1" bestFit="1" customWidth="1"/>
    <col min="10766" max="10766" width="5.25" style="1" bestFit="1" customWidth="1"/>
    <col min="10767" max="10767" width="5.5" style="1" bestFit="1" customWidth="1"/>
    <col min="10768" max="10768" width="8.25" style="1" bestFit="1" customWidth="1"/>
    <col min="10769" max="10769" width="4.5" style="1" bestFit="1" customWidth="1"/>
    <col min="10770" max="10771" width="7.5" style="1" bestFit="1" customWidth="1"/>
    <col min="10772" max="10772" width="11.375" style="1" bestFit="1" customWidth="1"/>
    <col min="10773" max="10773" width="6" style="1" bestFit="1" customWidth="1"/>
    <col min="10774" max="10774" width="11.375" style="1" bestFit="1" customWidth="1"/>
    <col min="10775" max="10775" width="5.25" style="1" bestFit="1" customWidth="1"/>
    <col min="10776" max="10776" width="85.25" style="1" bestFit="1" customWidth="1"/>
    <col min="10777" max="10777" width="8.875" style="1" bestFit="1" customWidth="1"/>
    <col min="10778" max="10778" width="8.5" style="1" bestFit="1" customWidth="1"/>
    <col min="10779" max="10779" width="3.75" style="1" bestFit="1" customWidth="1"/>
    <col min="10780" max="10780" width="9" style="1"/>
    <col min="10781" max="10781" width="15" style="1" bestFit="1" customWidth="1"/>
    <col min="10782" max="10782" width="24.25" style="1" bestFit="1" customWidth="1"/>
    <col min="10783" max="11008" width="9" style="1"/>
    <col min="11009" max="11009" width="12.875" style="1" bestFit="1" customWidth="1"/>
    <col min="11010" max="11010" width="6" style="1" bestFit="1" customWidth="1"/>
    <col min="11011" max="11011" width="7.5" style="1" bestFit="1" customWidth="1"/>
    <col min="11012" max="11012" width="10.875" style="1" bestFit="1" customWidth="1"/>
    <col min="11013" max="11013" width="20.75" style="1" bestFit="1" customWidth="1"/>
    <col min="11014" max="11014" width="7.5" style="1" bestFit="1" customWidth="1"/>
    <col min="11015" max="11015" width="4.5" style="1" bestFit="1" customWidth="1"/>
    <col min="11016" max="11016" width="7.5" style="1" bestFit="1" customWidth="1"/>
    <col min="11017" max="11017" width="4.5" style="1" bestFit="1" customWidth="1"/>
    <col min="11018" max="11018" width="7.5" style="1" bestFit="1" customWidth="1"/>
    <col min="11019" max="11019" width="10.125" style="1" customWidth="1"/>
    <col min="11020" max="11020" width="26.75" style="1" bestFit="1" customWidth="1"/>
    <col min="11021" max="11021" width="5.125" style="1" bestFit="1" customWidth="1"/>
    <col min="11022" max="11022" width="5.25" style="1" bestFit="1" customWidth="1"/>
    <col min="11023" max="11023" width="5.5" style="1" bestFit="1" customWidth="1"/>
    <col min="11024" max="11024" width="8.25" style="1" bestFit="1" customWidth="1"/>
    <col min="11025" max="11025" width="4.5" style="1" bestFit="1" customWidth="1"/>
    <col min="11026" max="11027" width="7.5" style="1" bestFit="1" customWidth="1"/>
    <col min="11028" max="11028" width="11.375" style="1" bestFit="1" customWidth="1"/>
    <col min="11029" max="11029" width="6" style="1" bestFit="1" customWidth="1"/>
    <col min="11030" max="11030" width="11.375" style="1" bestFit="1" customWidth="1"/>
    <col min="11031" max="11031" width="5.25" style="1" bestFit="1" customWidth="1"/>
    <col min="11032" max="11032" width="85.25" style="1" bestFit="1" customWidth="1"/>
    <col min="11033" max="11033" width="8.875" style="1" bestFit="1" customWidth="1"/>
    <col min="11034" max="11034" width="8.5" style="1" bestFit="1" customWidth="1"/>
    <col min="11035" max="11035" width="3.75" style="1" bestFit="1" customWidth="1"/>
    <col min="11036" max="11036" width="9" style="1"/>
    <col min="11037" max="11037" width="15" style="1" bestFit="1" customWidth="1"/>
    <col min="11038" max="11038" width="24.25" style="1" bestFit="1" customWidth="1"/>
    <col min="11039" max="11264" width="9" style="1"/>
    <col min="11265" max="11265" width="12.875" style="1" bestFit="1" customWidth="1"/>
    <col min="11266" max="11266" width="6" style="1" bestFit="1" customWidth="1"/>
    <col min="11267" max="11267" width="7.5" style="1" bestFit="1" customWidth="1"/>
    <col min="11268" max="11268" width="10.875" style="1" bestFit="1" customWidth="1"/>
    <col min="11269" max="11269" width="20.75" style="1" bestFit="1" customWidth="1"/>
    <col min="11270" max="11270" width="7.5" style="1" bestFit="1" customWidth="1"/>
    <col min="11271" max="11271" width="4.5" style="1" bestFit="1" customWidth="1"/>
    <col min="11272" max="11272" width="7.5" style="1" bestFit="1" customWidth="1"/>
    <col min="11273" max="11273" width="4.5" style="1" bestFit="1" customWidth="1"/>
    <col min="11274" max="11274" width="7.5" style="1" bestFit="1" customWidth="1"/>
    <col min="11275" max="11275" width="10.125" style="1" customWidth="1"/>
    <col min="11276" max="11276" width="26.75" style="1" bestFit="1" customWidth="1"/>
    <col min="11277" max="11277" width="5.125" style="1" bestFit="1" customWidth="1"/>
    <col min="11278" max="11278" width="5.25" style="1" bestFit="1" customWidth="1"/>
    <col min="11279" max="11279" width="5.5" style="1" bestFit="1" customWidth="1"/>
    <col min="11280" max="11280" width="8.25" style="1" bestFit="1" customWidth="1"/>
    <col min="11281" max="11281" width="4.5" style="1" bestFit="1" customWidth="1"/>
    <col min="11282" max="11283" width="7.5" style="1" bestFit="1" customWidth="1"/>
    <col min="11284" max="11284" width="11.375" style="1" bestFit="1" customWidth="1"/>
    <col min="11285" max="11285" width="6" style="1" bestFit="1" customWidth="1"/>
    <col min="11286" max="11286" width="11.375" style="1" bestFit="1" customWidth="1"/>
    <col min="11287" max="11287" width="5.25" style="1" bestFit="1" customWidth="1"/>
    <col min="11288" max="11288" width="85.25" style="1" bestFit="1" customWidth="1"/>
    <col min="11289" max="11289" width="8.875" style="1" bestFit="1" customWidth="1"/>
    <col min="11290" max="11290" width="8.5" style="1" bestFit="1" customWidth="1"/>
    <col min="11291" max="11291" width="3.75" style="1" bestFit="1" customWidth="1"/>
    <col min="11292" max="11292" width="9" style="1"/>
    <col min="11293" max="11293" width="15" style="1" bestFit="1" customWidth="1"/>
    <col min="11294" max="11294" width="24.25" style="1" bestFit="1" customWidth="1"/>
    <col min="11295" max="11520" width="9" style="1"/>
    <col min="11521" max="11521" width="12.875" style="1" bestFit="1" customWidth="1"/>
    <col min="11522" max="11522" width="6" style="1" bestFit="1" customWidth="1"/>
    <col min="11523" max="11523" width="7.5" style="1" bestFit="1" customWidth="1"/>
    <col min="11524" max="11524" width="10.875" style="1" bestFit="1" customWidth="1"/>
    <col min="11525" max="11525" width="20.75" style="1" bestFit="1" customWidth="1"/>
    <col min="11526" max="11526" width="7.5" style="1" bestFit="1" customWidth="1"/>
    <col min="11527" max="11527" width="4.5" style="1" bestFit="1" customWidth="1"/>
    <col min="11528" max="11528" width="7.5" style="1" bestFit="1" customWidth="1"/>
    <col min="11529" max="11529" width="4.5" style="1" bestFit="1" customWidth="1"/>
    <col min="11530" max="11530" width="7.5" style="1" bestFit="1" customWidth="1"/>
    <col min="11531" max="11531" width="10.125" style="1" customWidth="1"/>
    <col min="11532" max="11532" width="26.75" style="1" bestFit="1" customWidth="1"/>
    <col min="11533" max="11533" width="5.125" style="1" bestFit="1" customWidth="1"/>
    <col min="11534" max="11534" width="5.25" style="1" bestFit="1" customWidth="1"/>
    <col min="11535" max="11535" width="5.5" style="1" bestFit="1" customWidth="1"/>
    <col min="11536" max="11536" width="8.25" style="1" bestFit="1" customWidth="1"/>
    <col min="11537" max="11537" width="4.5" style="1" bestFit="1" customWidth="1"/>
    <col min="11538" max="11539" width="7.5" style="1" bestFit="1" customWidth="1"/>
    <col min="11540" max="11540" width="11.375" style="1" bestFit="1" customWidth="1"/>
    <col min="11541" max="11541" width="6" style="1" bestFit="1" customWidth="1"/>
    <col min="11542" max="11542" width="11.375" style="1" bestFit="1" customWidth="1"/>
    <col min="11543" max="11543" width="5.25" style="1" bestFit="1" customWidth="1"/>
    <col min="11544" max="11544" width="85.25" style="1" bestFit="1" customWidth="1"/>
    <col min="11545" max="11545" width="8.875" style="1" bestFit="1" customWidth="1"/>
    <col min="11546" max="11546" width="8.5" style="1" bestFit="1" customWidth="1"/>
    <col min="11547" max="11547" width="3.75" style="1" bestFit="1" customWidth="1"/>
    <col min="11548" max="11548" width="9" style="1"/>
    <col min="11549" max="11549" width="15" style="1" bestFit="1" customWidth="1"/>
    <col min="11550" max="11550" width="24.25" style="1" bestFit="1" customWidth="1"/>
    <col min="11551" max="11776" width="9" style="1"/>
    <col min="11777" max="11777" width="12.875" style="1" bestFit="1" customWidth="1"/>
    <col min="11778" max="11778" width="6" style="1" bestFit="1" customWidth="1"/>
    <col min="11779" max="11779" width="7.5" style="1" bestFit="1" customWidth="1"/>
    <col min="11780" max="11780" width="10.875" style="1" bestFit="1" customWidth="1"/>
    <col min="11781" max="11781" width="20.75" style="1" bestFit="1" customWidth="1"/>
    <col min="11782" max="11782" width="7.5" style="1" bestFit="1" customWidth="1"/>
    <col min="11783" max="11783" width="4.5" style="1" bestFit="1" customWidth="1"/>
    <col min="11784" max="11784" width="7.5" style="1" bestFit="1" customWidth="1"/>
    <col min="11785" max="11785" width="4.5" style="1" bestFit="1" customWidth="1"/>
    <col min="11786" max="11786" width="7.5" style="1" bestFit="1" customWidth="1"/>
    <col min="11787" max="11787" width="10.125" style="1" customWidth="1"/>
    <col min="11788" max="11788" width="26.75" style="1" bestFit="1" customWidth="1"/>
    <col min="11789" max="11789" width="5.125" style="1" bestFit="1" customWidth="1"/>
    <col min="11790" max="11790" width="5.25" style="1" bestFit="1" customWidth="1"/>
    <col min="11791" max="11791" width="5.5" style="1" bestFit="1" customWidth="1"/>
    <col min="11792" max="11792" width="8.25" style="1" bestFit="1" customWidth="1"/>
    <col min="11793" max="11793" width="4.5" style="1" bestFit="1" customWidth="1"/>
    <col min="11794" max="11795" width="7.5" style="1" bestFit="1" customWidth="1"/>
    <col min="11796" max="11796" width="11.375" style="1" bestFit="1" customWidth="1"/>
    <col min="11797" max="11797" width="6" style="1" bestFit="1" customWidth="1"/>
    <col min="11798" max="11798" width="11.375" style="1" bestFit="1" customWidth="1"/>
    <col min="11799" max="11799" width="5.25" style="1" bestFit="1" customWidth="1"/>
    <col min="11800" max="11800" width="85.25" style="1" bestFit="1" customWidth="1"/>
    <col min="11801" max="11801" width="8.875" style="1" bestFit="1" customWidth="1"/>
    <col min="11802" max="11802" width="8.5" style="1" bestFit="1" customWidth="1"/>
    <col min="11803" max="11803" width="3.75" style="1" bestFit="1" customWidth="1"/>
    <col min="11804" max="11804" width="9" style="1"/>
    <col min="11805" max="11805" width="15" style="1" bestFit="1" customWidth="1"/>
    <col min="11806" max="11806" width="24.25" style="1" bestFit="1" customWidth="1"/>
    <col min="11807" max="12032" width="9" style="1"/>
    <col min="12033" max="12033" width="12.875" style="1" bestFit="1" customWidth="1"/>
    <col min="12034" max="12034" width="6" style="1" bestFit="1" customWidth="1"/>
    <col min="12035" max="12035" width="7.5" style="1" bestFit="1" customWidth="1"/>
    <col min="12036" max="12036" width="10.875" style="1" bestFit="1" customWidth="1"/>
    <col min="12037" max="12037" width="20.75" style="1" bestFit="1" customWidth="1"/>
    <col min="12038" max="12038" width="7.5" style="1" bestFit="1" customWidth="1"/>
    <col min="12039" max="12039" width="4.5" style="1" bestFit="1" customWidth="1"/>
    <col min="12040" max="12040" width="7.5" style="1" bestFit="1" customWidth="1"/>
    <col min="12041" max="12041" width="4.5" style="1" bestFit="1" customWidth="1"/>
    <col min="12042" max="12042" width="7.5" style="1" bestFit="1" customWidth="1"/>
    <col min="12043" max="12043" width="10.125" style="1" customWidth="1"/>
    <col min="12044" max="12044" width="26.75" style="1" bestFit="1" customWidth="1"/>
    <col min="12045" max="12045" width="5.125" style="1" bestFit="1" customWidth="1"/>
    <col min="12046" max="12046" width="5.25" style="1" bestFit="1" customWidth="1"/>
    <col min="12047" max="12047" width="5.5" style="1" bestFit="1" customWidth="1"/>
    <col min="12048" max="12048" width="8.25" style="1" bestFit="1" customWidth="1"/>
    <col min="12049" max="12049" width="4.5" style="1" bestFit="1" customWidth="1"/>
    <col min="12050" max="12051" width="7.5" style="1" bestFit="1" customWidth="1"/>
    <col min="12052" max="12052" width="11.375" style="1" bestFit="1" customWidth="1"/>
    <col min="12053" max="12053" width="6" style="1" bestFit="1" customWidth="1"/>
    <col min="12054" max="12054" width="11.375" style="1" bestFit="1" customWidth="1"/>
    <col min="12055" max="12055" width="5.25" style="1" bestFit="1" customWidth="1"/>
    <col min="12056" max="12056" width="85.25" style="1" bestFit="1" customWidth="1"/>
    <col min="12057" max="12057" width="8.875" style="1" bestFit="1" customWidth="1"/>
    <col min="12058" max="12058" width="8.5" style="1" bestFit="1" customWidth="1"/>
    <col min="12059" max="12059" width="3.75" style="1" bestFit="1" customWidth="1"/>
    <col min="12060" max="12060" width="9" style="1"/>
    <col min="12061" max="12061" width="15" style="1" bestFit="1" customWidth="1"/>
    <col min="12062" max="12062" width="24.25" style="1" bestFit="1" customWidth="1"/>
    <col min="12063" max="12288" width="9" style="1"/>
    <col min="12289" max="12289" width="12.875" style="1" bestFit="1" customWidth="1"/>
    <col min="12290" max="12290" width="6" style="1" bestFit="1" customWidth="1"/>
    <col min="12291" max="12291" width="7.5" style="1" bestFit="1" customWidth="1"/>
    <col min="12292" max="12292" width="10.875" style="1" bestFit="1" customWidth="1"/>
    <col min="12293" max="12293" width="20.75" style="1" bestFit="1" customWidth="1"/>
    <col min="12294" max="12294" width="7.5" style="1" bestFit="1" customWidth="1"/>
    <col min="12295" max="12295" width="4.5" style="1" bestFit="1" customWidth="1"/>
    <col min="12296" max="12296" width="7.5" style="1" bestFit="1" customWidth="1"/>
    <col min="12297" max="12297" width="4.5" style="1" bestFit="1" customWidth="1"/>
    <col min="12298" max="12298" width="7.5" style="1" bestFit="1" customWidth="1"/>
    <col min="12299" max="12299" width="10.125" style="1" customWidth="1"/>
    <col min="12300" max="12300" width="26.75" style="1" bestFit="1" customWidth="1"/>
    <col min="12301" max="12301" width="5.125" style="1" bestFit="1" customWidth="1"/>
    <col min="12302" max="12302" width="5.25" style="1" bestFit="1" customWidth="1"/>
    <col min="12303" max="12303" width="5.5" style="1" bestFit="1" customWidth="1"/>
    <col min="12304" max="12304" width="8.25" style="1" bestFit="1" customWidth="1"/>
    <col min="12305" max="12305" width="4.5" style="1" bestFit="1" customWidth="1"/>
    <col min="12306" max="12307" width="7.5" style="1" bestFit="1" customWidth="1"/>
    <col min="12308" max="12308" width="11.375" style="1" bestFit="1" customWidth="1"/>
    <col min="12309" max="12309" width="6" style="1" bestFit="1" customWidth="1"/>
    <col min="12310" max="12310" width="11.375" style="1" bestFit="1" customWidth="1"/>
    <col min="12311" max="12311" width="5.25" style="1" bestFit="1" customWidth="1"/>
    <col min="12312" max="12312" width="85.25" style="1" bestFit="1" customWidth="1"/>
    <col min="12313" max="12313" width="8.875" style="1" bestFit="1" customWidth="1"/>
    <col min="12314" max="12314" width="8.5" style="1" bestFit="1" customWidth="1"/>
    <col min="12315" max="12315" width="3.75" style="1" bestFit="1" customWidth="1"/>
    <col min="12316" max="12316" width="9" style="1"/>
    <col min="12317" max="12317" width="15" style="1" bestFit="1" customWidth="1"/>
    <col min="12318" max="12318" width="24.25" style="1" bestFit="1" customWidth="1"/>
    <col min="12319" max="12544" width="9" style="1"/>
    <col min="12545" max="12545" width="12.875" style="1" bestFit="1" customWidth="1"/>
    <col min="12546" max="12546" width="6" style="1" bestFit="1" customWidth="1"/>
    <col min="12547" max="12547" width="7.5" style="1" bestFit="1" customWidth="1"/>
    <col min="12548" max="12548" width="10.875" style="1" bestFit="1" customWidth="1"/>
    <col min="12549" max="12549" width="20.75" style="1" bestFit="1" customWidth="1"/>
    <col min="12550" max="12550" width="7.5" style="1" bestFit="1" customWidth="1"/>
    <col min="12551" max="12551" width="4.5" style="1" bestFit="1" customWidth="1"/>
    <col min="12552" max="12552" width="7.5" style="1" bestFit="1" customWidth="1"/>
    <col min="12553" max="12553" width="4.5" style="1" bestFit="1" customWidth="1"/>
    <col min="12554" max="12554" width="7.5" style="1" bestFit="1" customWidth="1"/>
    <col min="12555" max="12555" width="10.125" style="1" customWidth="1"/>
    <col min="12556" max="12556" width="26.75" style="1" bestFit="1" customWidth="1"/>
    <col min="12557" max="12557" width="5.125" style="1" bestFit="1" customWidth="1"/>
    <col min="12558" max="12558" width="5.25" style="1" bestFit="1" customWidth="1"/>
    <col min="12559" max="12559" width="5.5" style="1" bestFit="1" customWidth="1"/>
    <col min="12560" max="12560" width="8.25" style="1" bestFit="1" customWidth="1"/>
    <col min="12561" max="12561" width="4.5" style="1" bestFit="1" customWidth="1"/>
    <col min="12562" max="12563" width="7.5" style="1" bestFit="1" customWidth="1"/>
    <col min="12564" max="12564" width="11.375" style="1" bestFit="1" customWidth="1"/>
    <col min="12565" max="12565" width="6" style="1" bestFit="1" customWidth="1"/>
    <col min="12566" max="12566" width="11.375" style="1" bestFit="1" customWidth="1"/>
    <col min="12567" max="12567" width="5.25" style="1" bestFit="1" customWidth="1"/>
    <col min="12568" max="12568" width="85.25" style="1" bestFit="1" customWidth="1"/>
    <col min="12569" max="12569" width="8.875" style="1" bestFit="1" customWidth="1"/>
    <col min="12570" max="12570" width="8.5" style="1" bestFit="1" customWidth="1"/>
    <col min="12571" max="12571" width="3.75" style="1" bestFit="1" customWidth="1"/>
    <col min="12572" max="12572" width="9" style="1"/>
    <col min="12573" max="12573" width="15" style="1" bestFit="1" customWidth="1"/>
    <col min="12574" max="12574" width="24.25" style="1" bestFit="1" customWidth="1"/>
    <col min="12575" max="12800" width="9" style="1"/>
    <col min="12801" max="12801" width="12.875" style="1" bestFit="1" customWidth="1"/>
    <col min="12802" max="12802" width="6" style="1" bestFit="1" customWidth="1"/>
    <col min="12803" max="12803" width="7.5" style="1" bestFit="1" customWidth="1"/>
    <col min="12804" max="12804" width="10.875" style="1" bestFit="1" customWidth="1"/>
    <col min="12805" max="12805" width="20.75" style="1" bestFit="1" customWidth="1"/>
    <col min="12806" max="12806" width="7.5" style="1" bestFit="1" customWidth="1"/>
    <col min="12807" max="12807" width="4.5" style="1" bestFit="1" customWidth="1"/>
    <col min="12808" max="12808" width="7.5" style="1" bestFit="1" customWidth="1"/>
    <col min="12809" max="12809" width="4.5" style="1" bestFit="1" customWidth="1"/>
    <col min="12810" max="12810" width="7.5" style="1" bestFit="1" customWidth="1"/>
    <col min="12811" max="12811" width="10.125" style="1" customWidth="1"/>
    <col min="12812" max="12812" width="26.75" style="1" bestFit="1" customWidth="1"/>
    <col min="12813" max="12813" width="5.125" style="1" bestFit="1" customWidth="1"/>
    <col min="12814" max="12814" width="5.25" style="1" bestFit="1" customWidth="1"/>
    <col min="12815" max="12815" width="5.5" style="1" bestFit="1" customWidth="1"/>
    <col min="12816" max="12816" width="8.25" style="1" bestFit="1" customWidth="1"/>
    <col min="12817" max="12817" width="4.5" style="1" bestFit="1" customWidth="1"/>
    <col min="12818" max="12819" width="7.5" style="1" bestFit="1" customWidth="1"/>
    <col min="12820" max="12820" width="11.375" style="1" bestFit="1" customWidth="1"/>
    <col min="12821" max="12821" width="6" style="1" bestFit="1" customWidth="1"/>
    <col min="12822" max="12822" width="11.375" style="1" bestFit="1" customWidth="1"/>
    <col min="12823" max="12823" width="5.25" style="1" bestFit="1" customWidth="1"/>
    <col min="12824" max="12824" width="85.25" style="1" bestFit="1" customWidth="1"/>
    <col min="12825" max="12825" width="8.875" style="1" bestFit="1" customWidth="1"/>
    <col min="12826" max="12826" width="8.5" style="1" bestFit="1" customWidth="1"/>
    <col min="12827" max="12827" width="3.75" style="1" bestFit="1" customWidth="1"/>
    <col min="12828" max="12828" width="9" style="1"/>
    <col min="12829" max="12829" width="15" style="1" bestFit="1" customWidth="1"/>
    <col min="12830" max="12830" width="24.25" style="1" bestFit="1" customWidth="1"/>
    <col min="12831" max="13056" width="9" style="1"/>
    <col min="13057" max="13057" width="12.875" style="1" bestFit="1" customWidth="1"/>
    <col min="13058" max="13058" width="6" style="1" bestFit="1" customWidth="1"/>
    <col min="13059" max="13059" width="7.5" style="1" bestFit="1" customWidth="1"/>
    <col min="13060" max="13060" width="10.875" style="1" bestFit="1" customWidth="1"/>
    <col min="13061" max="13061" width="20.75" style="1" bestFit="1" customWidth="1"/>
    <col min="13062" max="13062" width="7.5" style="1" bestFit="1" customWidth="1"/>
    <col min="13063" max="13063" width="4.5" style="1" bestFit="1" customWidth="1"/>
    <col min="13064" max="13064" width="7.5" style="1" bestFit="1" customWidth="1"/>
    <col min="13065" max="13065" width="4.5" style="1" bestFit="1" customWidth="1"/>
    <col min="13066" max="13066" width="7.5" style="1" bestFit="1" customWidth="1"/>
    <col min="13067" max="13067" width="10.125" style="1" customWidth="1"/>
    <col min="13068" max="13068" width="26.75" style="1" bestFit="1" customWidth="1"/>
    <col min="13069" max="13069" width="5.125" style="1" bestFit="1" customWidth="1"/>
    <col min="13070" max="13070" width="5.25" style="1" bestFit="1" customWidth="1"/>
    <col min="13071" max="13071" width="5.5" style="1" bestFit="1" customWidth="1"/>
    <col min="13072" max="13072" width="8.25" style="1" bestFit="1" customWidth="1"/>
    <col min="13073" max="13073" width="4.5" style="1" bestFit="1" customWidth="1"/>
    <col min="13074" max="13075" width="7.5" style="1" bestFit="1" customWidth="1"/>
    <col min="13076" max="13076" width="11.375" style="1" bestFit="1" customWidth="1"/>
    <col min="13077" max="13077" width="6" style="1" bestFit="1" customWidth="1"/>
    <col min="13078" max="13078" width="11.375" style="1" bestFit="1" customWidth="1"/>
    <col min="13079" max="13079" width="5.25" style="1" bestFit="1" customWidth="1"/>
    <col min="13080" max="13080" width="85.25" style="1" bestFit="1" customWidth="1"/>
    <col min="13081" max="13081" width="8.875" style="1" bestFit="1" customWidth="1"/>
    <col min="13082" max="13082" width="8.5" style="1" bestFit="1" customWidth="1"/>
    <col min="13083" max="13083" width="3.75" style="1" bestFit="1" customWidth="1"/>
    <col min="13084" max="13084" width="9" style="1"/>
    <col min="13085" max="13085" width="15" style="1" bestFit="1" customWidth="1"/>
    <col min="13086" max="13086" width="24.25" style="1" bestFit="1" customWidth="1"/>
    <col min="13087" max="13312" width="9" style="1"/>
    <col min="13313" max="13313" width="12.875" style="1" bestFit="1" customWidth="1"/>
    <col min="13314" max="13314" width="6" style="1" bestFit="1" customWidth="1"/>
    <col min="13315" max="13315" width="7.5" style="1" bestFit="1" customWidth="1"/>
    <col min="13316" max="13316" width="10.875" style="1" bestFit="1" customWidth="1"/>
    <col min="13317" max="13317" width="20.75" style="1" bestFit="1" customWidth="1"/>
    <col min="13318" max="13318" width="7.5" style="1" bestFit="1" customWidth="1"/>
    <col min="13319" max="13319" width="4.5" style="1" bestFit="1" customWidth="1"/>
    <col min="13320" max="13320" width="7.5" style="1" bestFit="1" customWidth="1"/>
    <col min="13321" max="13321" width="4.5" style="1" bestFit="1" customWidth="1"/>
    <col min="13322" max="13322" width="7.5" style="1" bestFit="1" customWidth="1"/>
    <col min="13323" max="13323" width="10.125" style="1" customWidth="1"/>
    <col min="13324" max="13324" width="26.75" style="1" bestFit="1" customWidth="1"/>
    <col min="13325" max="13325" width="5.125" style="1" bestFit="1" customWidth="1"/>
    <col min="13326" max="13326" width="5.25" style="1" bestFit="1" customWidth="1"/>
    <col min="13327" max="13327" width="5.5" style="1" bestFit="1" customWidth="1"/>
    <col min="13328" max="13328" width="8.25" style="1" bestFit="1" customWidth="1"/>
    <col min="13329" max="13329" width="4.5" style="1" bestFit="1" customWidth="1"/>
    <col min="13330" max="13331" width="7.5" style="1" bestFit="1" customWidth="1"/>
    <col min="13332" max="13332" width="11.375" style="1" bestFit="1" customWidth="1"/>
    <col min="13333" max="13333" width="6" style="1" bestFit="1" customWidth="1"/>
    <col min="13334" max="13334" width="11.375" style="1" bestFit="1" customWidth="1"/>
    <col min="13335" max="13335" width="5.25" style="1" bestFit="1" customWidth="1"/>
    <col min="13336" max="13336" width="85.25" style="1" bestFit="1" customWidth="1"/>
    <col min="13337" max="13337" width="8.875" style="1" bestFit="1" customWidth="1"/>
    <col min="13338" max="13338" width="8.5" style="1" bestFit="1" customWidth="1"/>
    <col min="13339" max="13339" width="3.75" style="1" bestFit="1" customWidth="1"/>
    <col min="13340" max="13340" width="9" style="1"/>
    <col min="13341" max="13341" width="15" style="1" bestFit="1" customWidth="1"/>
    <col min="13342" max="13342" width="24.25" style="1" bestFit="1" customWidth="1"/>
    <col min="13343" max="13568" width="9" style="1"/>
    <col min="13569" max="13569" width="12.875" style="1" bestFit="1" customWidth="1"/>
    <col min="13570" max="13570" width="6" style="1" bestFit="1" customWidth="1"/>
    <col min="13571" max="13571" width="7.5" style="1" bestFit="1" customWidth="1"/>
    <col min="13572" max="13572" width="10.875" style="1" bestFit="1" customWidth="1"/>
    <col min="13573" max="13573" width="20.75" style="1" bestFit="1" customWidth="1"/>
    <col min="13574" max="13574" width="7.5" style="1" bestFit="1" customWidth="1"/>
    <col min="13575" max="13575" width="4.5" style="1" bestFit="1" customWidth="1"/>
    <col min="13576" max="13576" width="7.5" style="1" bestFit="1" customWidth="1"/>
    <col min="13577" max="13577" width="4.5" style="1" bestFit="1" customWidth="1"/>
    <col min="13578" max="13578" width="7.5" style="1" bestFit="1" customWidth="1"/>
    <col min="13579" max="13579" width="10.125" style="1" customWidth="1"/>
    <col min="13580" max="13580" width="26.75" style="1" bestFit="1" customWidth="1"/>
    <col min="13581" max="13581" width="5.125" style="1" bestFit="1" customWidth="1"/>
    <col min="13582" max="13582" width="5.25" style="1" bestFit="1" customWidth="1"/>
    <col min="13583" max="13583" width="5.5" style="1" bestFit="1" customWidth="1"/>
    <col min="13584" max="13584" width="8.25" style="1" bestFit="1" customWidth="1"/>
    <col min="13585" max="13585" width="4.5" style="1" bestFit="1" customWidth="1"/>
    <col min="13586" max="13587" width="7.5" style="1" bestFit="1" customWidth="1"/>
    <col min="13588" max="13588" width="11.375" style="1" bestFit="1" customWidth="1"/>
    <col min="13589" max="13589" width="6" style="1" bestFit="1" customWidth="1"/>
    <col min="13590" max="13590" width="11.375" style="1" bestFit="1" customWidth="1"/>
    <col min="13591" max="13591" width="5.25" style="1" bestFit="1" customWidth="1"/>
    <col min="13592" max="13592" width="85.25" style="1" bestFit="1" customWidth="1"/>
    <col min="13593" max="13593" width="8.875" style="1" bestFit="1" customWidth="1"/>
    <col min="13594" max="13594" width="8.5" style="1" bestFit="1" customWidth="1"/>
    <col min="13595" max="13595" width="3.75" style="1" bestFit="1" customWidth="1"/>
    <col min="13596" max="13596" width="9" style="1"/>
    <col min="13597" max="13597" width="15" style="1" bestFit="1" customWidth="1"/>
    <col min="13598" max="13598" width="24.25" style="1" bestFit="1" customWidth="1"/>
    <col min="13599" max="13824" width="9" style="1"/>
    <col min="13825" max="13825" width="12.875" style="1" bestFit="1" customWidth="1"/>
    <col min="13826" max="13826" width="6" style="1" bestFit="1" customWidth="1"/>
    <col min="13827" max="13827" width="7.5" style="1" bestFit="1" customWidth="1"/>
    <col min="13828" max="13828" width="10.875" style="1" bestFit="1" customWidth="1"/>
    <col min="13829" max="13829" width="20.75" style="1" bestFit="1" customWidth="1"/>
    <col min="13830" max="13830" width="7.5" style="1" bestFit="1" customWidth="1"/>
    <col min="13831" max="13831" width="4.5" style="1" bestFit="1" customWidth="1"/>
    <col min="13832" max="13832" width="7.5" style="1" bestFit="1" customWidth="1"/>
    <col min="13833" max="13833" width="4.5" style="1" bestFit="1" customWidth="1"/>
    <col min="13834" max="13834" width="7.5" style="1" bestFit="1" customWidth="1"/>
    <col min="13835" max="13835" width="10.125" style="1" customWidth="1"/>
    <col min="13836" max="13836" width="26.75" style="1" bestFit="1" customWidth="1"/>
    <col min="13837" max="13837" width="5.125" style="1" bestFit="1" customWidth="1"/>
    <col min="13838" max="13838" width="5.25" style="1" bestFit="1" customWidth="1"/>
    <col min="13839" max="13839" width="5.5" style="1" bestFit="1" customWidth="1"/>
    <col min="13840" max="13840" width="8.25" style="1" bestFit="1" customWidth="1"/>
    <col min="13841" max="13841" width="4.5" style="1" bestFit="1" customWidth="1"/>
    <col min="13842" max="13843" width="7.5" style="1" bestFit="1" customWidth="1"/>
    <col min="13844" max="13844" width="11.375" style="1" bestFit="1" customWidth="1"/>
    <col min="13845" max="13845" width="6" style="1" bestFit="1" customWidth="1"/>
    <col min="13846" max="13846" width="11.375" style="1" bestFit="1" customWidth="1"/>
    <col min="13847" max="13847" width="5.25" style="1" bestFit="1" customWidth="1"/>
    <col min="13848" max="13848" width="85.25" style="1" bestFit="1" customWidth="1"/>
    <col min="13849" max="13849" width="8.875" style="1" bestFit="1" customWidth="1"/>
    <col min="13850" max="13850" width="8.5" style="1" bestFit="1" customWidth="1"/>
    <col min="13851" max="13851" width="3.75" style="1" bestFit="1" customWidth="1"/>
    <col min="13852" max="13852" width="9" style="1"/>
    <col min="13853" max="13853" width="15" style="1" bestFit="1" customWidth="1"/>
    <col min="13854" max="13854" width="24.25" style="1" bestFit="1" customWidth="1"/>
    <col min="13855" max="14080" width="9" style="1"/>
    <col min="14081" max="14081" width="12.875" style="1" bestFit="1" customWidth="1"/>
    <col min="14082" max="14082" width="6" style="1" bestFit="1" customWidth="1"/>
    <col min="14083" max="14083" width="7.5" style="1" bestFit="1" customWidth="1"/>
    <col min="14084" max="14084" width="10.875" style="1" bestFit="1" customWidth="1"/>
    <col min="14085" max="14085" width="20.75" style="1" bestFit="1" customWidth="1"/>
    <col min="14086" max="14086" width="7.5" style="1" bestFit="1" customWidth="1"/>
    <col min="14087" max="14087" width="4.5" style="1" bestFit="1" customWidth="1"/>
    <col min="14088" max="14088" width="7.5" style="1" bestFit="1" customWidth="1"/>
    <col min="14089" max="14089" width="4.5" style="1" bestFit="1" customWidth="1"/>
    <col min="14090" max="14090" width="7.5" style="1" bestFit="1" customWidth="1"/>
    <col min="14091" max="14091" width="10.125" style="1" customWidth="1"/>
    <col min="14092" max="14092" width="26.75" style="1" bestFit="1" customWidth="1"/>
    <col min="14093" max="14093" width="5.125" style="1" bestFit="1" customWidth="1"/>
    <col min="14094" max="14094" width="5.25" style="1" bestFit="1" customWidth="1"/>
    <col min="14095" max="14095" width="5.5" style="1" bestFit="1" customWidth="1"/>
    <col min="14096" max="14096" width="8.25" style="1" bestFit="1" customWidth="1"/>
    <col min="14097" max="14097" width="4.5" style="1" bestFit="1" customWidth="1"/>
    <col min="14098" max="14099" width="7.5" style="1" bestFit="1" customWidth="1"/>
    <col min="14100" max="14100" width="11.375" style="1" bestFit="1" customWidth="1"/>
    <col min="14101" max="14101" width="6" style="1" bestFit="1" customWidth="1"/>
    <col min="14102" max="14102" width="11.375" style="1" bestFit="1" customWidth="1"/>
    <col min="14103" max="14103" width="5.25" style="1" bestFit="1" customWidth="1"/>
    <col min="14104" max="14104" width="85.25" style="1" bestFit="1" customWidth="1"/>
    <col min="14105" max="14105" width="8.875" style="1" bestFit="1" customWidth="1"/>
    <col min="14106" max="14106" width="8.5" style="1" bestFit="1" customWidth="1"/>
    <col min="14107" max="14107" width="3.75" style="1" bestFit="1" customWidth="1"/>
    <col min="14108" max="14108" width="9" style="1"/>
    <col min="14109" max="14109" width="15" style="1" bestFit="1" customWidth="1"/>
    <col min="14110" max="14110" width="24.25" style="1" bestFit="1" customWidth="1"/>
    <col min="14111" max="14336" width="9" style="1"/>
    <col min="14337" max="14337" width="12.875" style="1" bestFit="1" customWidth="1"/>
    <col min="14338" max="14338" width="6" style="1" bestFit="1" customWidth="1"/>
    <col min="14339" max="14339" width="7.5" style="1" bestFit="1" customWidth="1"/>
    <col min="14340" max="14340" width="10.875" style="1" bestFit="1" customWidth="1"/>
    <col min="14341" max="14341" width="20.75" style="1" bestFit="1" customWidth="1"/>
    <col min="14342" max="14342" width="7.5" style="1" bestFit="1" customWidth="1"/>
    <col min="14343" max="14343" width="4.5" style="1" bestFit="1" customWidth="1"/>
    <col min="14344" max="14344" width="7.5" style="1" bestFit="1" customWidth="1"/>
    <col min="14345" max="14345" width="4.5" style="1" bestFit="1" customWidth="1"/>
    <col min="14346" max="14346" width="7.5" style="1" bestFit="1" customWidth="1"/>
    <col min="14347" max="14347" width="10.125" style="1" customWidth="1"/>
    <col min="14348" max="14348" width="26.75" style="1" bestFit="1" customWidth="1"/>
    <col min="14349" max="14349" width="5.125" style="1" bestFit="1" customWidth="1"/>
    <col min="14350" max="14350" width="5.25" style="1" bestFit="1" customWidth="1"/>
    <col min="14351" max="14351" width="5.5" style="1" bestFit="1" customWidth="1"/>
    <col min="14352" max="14352" width="8.25" style="1" bestFit="1" customWidth="1"/>
    <col min="14353" max="14353" width="4.5" style="1" bestFit="1" customWidth="1"/>
    <col min="14354" max="14355" width="7.5" style="1" bestFit="1" customWidth="1"/>
    <col min="14356" max="14356" width="11.375" style="1" bestFit="1" customWidth="1"/>
    <col min="14357" max="14357" width="6" style="1" bestFit="1" customWidth="1"/>
    <col min="14358" max="14358" width="11.375" style="1" bestFit="1" customWidth="1"/>
    <col min="14359" max="14359" width="5.25" style="1" bestFit="1" customWidth="1"/>
    <col min="14360" max="14360" width="85.25" style="1" bestFit="1" customWidth="1"/>
    <col min="14361" max="14361" width="8.875" style="1" bestFit="1" customWidth="1"/>
    <col min="14362" max="14362" width="8.5" style="1" bestFit="1" customWidth="1"/>
    <col min="14363" max="14363" width="3.75" style="1" bestFit="1" customWidth="1"/>
    <col min="14364" max="14364" width="9" style="1"/>
    <col min="14365" max="14365" width="15" style="1" bestFit="1" customWidth="1"/>
    <col min="14366" max="14366" width="24.25" style="1" bestFit="1" customWidth="1"/>
    <col min="14367" max="14592" width="9" style="1"/>
    <col min="14593" max="14593" width="12.875" style="1" bestFit="1" customWidth="1"/>
    <col min="14594" max="14594" width="6" style="1" bestFit="1" customWidth="1"/>
    <col min="14595" max="14595" width="7.5" style="1" bestFit="1" customWidth="1"/>
    <col min="14596" max="14596" width="10.875" style="1" bestFit="1" customWidth="1"/>
    <col min="14597" max="14597" width="20.75" style="1" bestFit="1" customWidth="1"/>
    <col min="14598" max="14598" width="7.5" style="1" bestFit="1" customWidth="1"/>
    <col min="14599" max="14599" width="4.5" style="1" bestFit="1" customWidth="1"/>
    <col min="14600" max="14600" width="7.5" style="1" bestFit="1" customWidth="1"/>
    <col min="14601" max="14601" width="4.5" style="1" bestFit="1" customWidth="1"/>
    <col min="14602" max="14602" width="7.5" style="1" bestFit="1" customWidth="1"/>
    <col min="14603" max="14603" width="10.125" style="1" customWidth="1"/>
    <col min="14604" max="14604" width="26.75" style="1" bestFit="1" customWidth="1"/>
    <col min="14605" max="14605" width="5.125" style="1" bestFit="1" customWidth="1"/>
    <col min="14606" max="14606" width="5.25" style="1" bestFit="1" customWidth="1"/>
    <col min="14607" max="14607" width="5.5" style="1" bestFit="1" customWidth="1"/>
    <col min="14608" max="14608" width="8.25" style="1" bestFit="1" customWidth="1"/>
    <col min="14609" max="14609" width="4.5" style="1" bestFit="1" customWidth="1"/>
    <col min="14610" max="14611" width="7.5" style="1" bestFit="1" customWidth="1"/>
    <col min="14612" max="14612" width="11.375" style="1" bestFit="1" customWidth="1"/>
    <col min="14613" max="14613" width="6" style="1" bestFit="1" customWidth="1"/>
    <col min="14614" max="14614" width="11.375" style="1" bestFit="1" customWidth="1"/>
    <col min="14615" max="14615" width="5.25" style="1" bestFit="1" customWidth="1"/>
    <col min="14616" max="14616" width="85.25" style="1" bestFit="1" customWidth="1"/>
    <col min="14617" max="14617" width="8.875" style="1" bestFit="1" customWidth="1"/>
    <col min="14618" max="14618" width="8.5" style="1" bestFit="1" customWidth="1"/>
    <col min="14619" max="14619" width="3.75" style="1" bestFit="1" customWidth="1"/>
    <col min="14620" max="14620" width="9" style="1"/>
    <col min="14621" max="14621" width="15" style="1" bestFit="1" customWidth="1"/>
    <col min="14622" max="14622" width="24.25" style="1" bestFit="1" customWidth="1"/>
    <col min="14623" max="14848" width="9" style="1"/>
    <col min="14849" max="14849" width="12.875" style="1" bestFit="1" customWidth="1"/>
    <col min="14850" max="14850" width="6" style="1" bestFit="1" customWidth="1"/>
    <col min="14851" max="14851" width="7.5" style="1" bestFit="1" customWidth="1"/>
    <col min="14852" max="14852" width="10.875" style="1" bestFit="1" customWidth="1"/>
    <col min="14853" max="14853" width="20.75" style="1" bestFit="1" customWidth="1"/>
    <col min="14854" max="14854" width="7.5" style="1" bestFit="1" customWidth="1"/>
    <col min="14855" max="14855" width="4.5" style="1" bestFit="1" customWidth="1"/>
    <col min="14856" max="14856" width="7.5" style="1" bestFit="1" customWidth="1"/>
    <col min="14857" max="14857" width="4.5" style="1" bestFit="1" customWidth="1"/>
    <col min="14858" max="14858" width="7.5" style="1" bestFit="1" customWidth="1"/>
    <col min="14859" max="14859" width="10.125" style="1" customWidth="1"/>
    <col min="14860" max="14860" width="26.75" style="1" bestFit="1" customWidth="1"/>
    <col min="14861" max="14861" width="5.125" style="1" bestFit="1" customWidth="1"/>
    <col min="14862" max="14862" width="5.25" style="1" bestFit="1" customWidth="1"/>
    <col min="14863" max="14863" width="5.5" style="1" bestFit="1" customWidth="1"/>
    <col min="14864" max="14864" width="8.25" style="1" bestFit="1" customWidth="1"/>
    <col min="14865" max="14865" width="4.5" style="1" bestFit="1" customWidth="1"/>
    <col min="14866" max="14867" width="7.5" style="1" bestFit="1" customWidth="1"/>
    <col min="14868" max="14868" width="11.375" style="1" bestFit="1" customWidth="1"/>
    <col min="14869" max="14869" width="6" style="1" bestFit="1" customWidth="1"/>
    <col min="14870" max="14870" width="11.375" style="1" bestFit="1" customWidth="1"/>
    <col min="14871" max="14871" width="5.25" style="1" bestFit="1" customWidth="1"/>
    <col min="14872" max="14872" width="85.25" style="1" bestFit="1" customWidth="1"/>
    <col min="14873" max="14873" width="8.875" style="1" bestFit="1" customWidth="1"/>
    <col min="14874" max="14874" width="8.5" style="1" bestFit="1" customWidth="1"/>
    <col min="14875" max="14875" width="3.75" style="1" bestFit="1" customWidth="1"/>
    <col min="14876" max="14876" width="9" style="1"/>
    <col min="14877" max="14877" width="15" style="1" bestFit="1" customWidth="1"/>
    <col min="14878" max="14878" width="24.25" style="1" bestFit="1" customWidth="1"/>
    <col min="14879" max="15104" width="9" style="1"/>
    <col min="15105" max="15105" width="12.875" style="1" bestFit="1" customWidth="1"/>
    <col min="15106" max="15106" width="6" style="1" bestFit="1" customWidth="1"/>
    <col min="15107" max="15107" width="7.5" style="1" bestFit="1" customWidth="1"/>
    <col min="15108" max="15108" width="10.875" style="1" bestFit="1" customWidth="1"/>
    <col min="15109" max="15109" width="20.75" style="1" bestFit="1" customWidth="1"/>
    <col min="15110" max="15110" width="7.5" style="1" bestFit="1" customWidth="1"/>
    <col min="15111" max="15111" width="4.5" style="1" bestFit="1" customWidth="1"/>
    <col min="15112" max="15112" width="7.5" style="1" bestFit="1" customWidth="1"/>
    <col min="15113" max="15113" width="4.5" style="1" bestFit="1" customWidth="1"/>
    <col min="15114" max="15114" width="7.5" style="1" bestFit="1" customWidth="1"/>
    <col min="15115" max="15115" width="10.125" style="1" customWidth="1"/>
    <col min="15116" max="15116" width="26.75" style="1" bestFit="1" customWidth="1"/>
    <col min="15117" max="15117" width="5.125" style="1" bestFit="1" customWidth="1"/>
    <col min="15118" max="15118" width="5.25" style="1" bestFit="1" customWidth="1"/>
    <col min="15119" max="15119" width="5.5" style="1" bestFit="1" customWidth="1"/>
    <col min="15120" max="15120" width="8.25" style="1" bestFit="1" customWidth="1"/>
    <col min="15121" max="15121" width="4.5" style="1" bestFit="1" customWidth="1"/>
    <col min="15122" max="15123" width="7.5" style="1" bestFit="1" customWidth="1"/>
    <col min="15124" max="15124" width="11.375" style="1" bestFit="1" customWidth="1"/>
    <col min="15125" max="15125" width="6" style="1" bestFit="1" customWidth="1"/>
    <col min="15126" max="15126" width="11.375" style="1" bestFit="1" customWidth="1"/>
    <col min="15127" max="15127" width="5.25" style="1" bestFit="1" customWidth="1"/>
    <col min="15128" max="15128" width="85.25" style="1" bestFit="1" customWidth="1"/>
    <col min="15129" max="15129" width="8.875" style="1" bestFit="1" customWidth="1"/>
    <col min="15130" max="15130" width="8.5" style="1" bestFit="1" customWidth="1"/>
    <col min="15131" max="15131" width="3.75" style="1" bestFit="1" customWidth="1"/>
    <col min="15132" max="15132" width="9" style="1"/>
    <col min="15133" max="15133" width="15" style="1" bestFit="1" customWidth="1"/>
    <col min="15134" max="15134" width="24.25" style="1" bestFit="1" customWidth="1"/>
    <col min="15135" max="15360" width="9" style="1"/>
    <col min="15361" max="15361" width="12.875" style="1" bestFit="1" customWidth="1"/>
    <col min="15362" max="15362" width="6" style="1" bestFit="1" customWidth="1"/>
    <col min="15363" max="15363" width="7.5" style="1" bestFit="1" customWidth="1"/>
    <col min="15364" max="15364" width="10.875" style="1" bestFit="1" customWidth="1"/>
    <col min="15365" max="15365" width="20.75" style="1" bestFit="1" customWidth="1"/>
    <col min="15366" max="15366" width="7.5" style="1" bestFit="1" customWidth="1"/>
    <col min="15367" max="15367" width="4.5" style="1" bestFit="1" customWidth="1"/>
    <col min="15368" max="15368" width="7.5" style="1" bestFit="1" customWidth="1"/>
    <col min="15369" max="15369" width="4.5" style="1" bestFit="1" customWidth="1"/>
    <col min="15370" max="15370" width="7.5" style="1" bestFit="1" customWidth="1"/>
    <col min="15371" max="15371" width="10.125" style="1" customWidth="1"/>
    <col min="15372" max="15372" width="26.75" style="1" bestFit="1" customWidth="1"/>
    <col min="15373" max="15373" width="5.125" style="1" bestFit="1" customWidth="1"/>
    <col min="15374" max="15374" width="5.25" style="1" bestFit="1" customWidth="1"/>
    <col min="15375" max="15375" width="5.5" style="1" bestFit="1" customWidth="1"/>
    <col min="15376" max="15376" width="8.25" style="1" bestFit="1" customWidth="1"/>
    <col min="15377" max="15377" width="4.5" style="1" bestFit="1" customWidth="1"/>
    <col min="15378" max="15379" width="7.5" style="1" bestFit="1" customWidth="1"/>
    <col min="15380" max="15380" width="11.375" style="1" bestFit="1" customWidth="1"/>
    <col min="15381" max="15381" width="6" style="1" bestFit="1" customWidth="1"/>
    <col min="15382" max="15382" width="11.375" style="1" bestFit="1" customWidth="1"/>
    <col min="15383" max="15383" width="5.25" style="1" bestFit="1" customWidth="1"/>
    <col min="15384" max="15384" width="85.25" style="1" bestFit="1" customWidth="1"/>
    <col min="15385" max="15385" width="8.875" style="1" bestFit="1" customWidth="1"/>
    <col min="15386" max="15386" width="8.5" style="1" bestFit="1" customWidth="1"/>
    <col min="15387" max="15387" width="3.75" style="1" bestFit="1" customWidth="1"/>
    <col min="15388" max="15388" width="9" style="1"/>
    <col min="15389" max="15389" width="15" style="1" bestFit="1" customWidth="1"/>
    <col min="15390" max="15390" width="24.25" style="1" bestFit="1" customWidth="1"/>
    <col min="15391" max="15616" width="9" style="1"/>
    <col min="15617" max="15617" width="12.875" style="1" bestFit="1" customWidth="1"/>
    <col min="15618" max="15618" width="6" style="1" bestFit="1" customWidth="1"/>
    <col min="15619" max="15619" width="7.5" style="1" bestFit="1" customWidth="1"/>
    <col min="15620" max="15620" width="10.875" style="1" bestFit="1" customWidth="1"/>
    <col min="15621" max="15621" width="20.75" style="1" bestFit="1" customWidth="1"/>
    <col min="15622" max="15622" width="7.5" style="1" bestFit="1" customWidth="1"/>
    <col min="15623" max="15623" width="4.5" style="1" bestFit="1" customWidth="1"/>
    <col min="15624" max="15624" width="7.5" style="1" bestFit="1" customWidth="1"/>
    <col min="15625" max="15625" width="4.5" style="1" bestFit="1" customWidth="1"/>
    <col min="15626" max="15626" width="7.5" style="1" bestFit="1" customWidth="1"/>
    <col min="15627" max="15627" width="10.125" style="1" customWidth="1"/>
    <col min="15628" max="15628" width="26.75" style="1" bestFit="1" customWidth="1"/>
    <col min="15629" max="15629" width="5.125" style="1" bestFit="1" customWidth="1"/>
    <col min="15630" max="15630" width="5.25" style="1" bestFit="1" customWidth="1"/>
    <col min="15631" max="15631" width="5.5" style="1" bestFit="1" customWidth="1"/>
    <col min="15632" max="15632" width="8.25" style="1" bestFit="1" customWidth="1"/>
    <col min="15633" max="15633" width="4.5" style="1" bestFit="1" customWidth="1"/>
    <col min="15634" max="15635" width="7.5" style="1" bestFit="1" customWidth="1"/>
    <col min="15636" max="15636" width="11.375" style="1" bestFit="1" customWidth="1"/>
    <col min="15637" max="15637" width="6" style="1" bestFit="1" customWidth="1"/>
    <col min="15638" max="15638" width="11.375" style="1" bestFit="1" customWidth="1"/>
    <col min="15639" max="15639" width="5.25" style="1" bestFit="1" customWidth="1"/>
    <col min="15640" max="15640" width="85.25" style="1" bestFit="1" customWidth="1"/>
    <col min="15641" max="15641" width="8.875" style="1" bestFit="1" customWidth="1"/>
    <col min="15642" max="15642" width="8.5" style="1" bestFit="1" customWidth="1"/>
    <col min="15643" max="15643" width="3.75" style="1" bestFit="1" customWidth="1"/>
    <col min="15644" max="15644" width="9" style="1"/>
    <col min="15645" max="15645" width="15" style="1" bestFit="1" customWidth="1"/>
    <col min="15646" max="15646" width="24.25" style="1" bestFit="1" customWidth="1"/>
    <col min="15647" max="15872" width="9" style="1"/>
    <col min="15873" max="15873" width="12.875" style="1" bestFit="1" customWidth="1"/>
    <col min="15874" max="15874" width="6" style="1" bestFit="1" customWidth="1"/>
    <col min="15875" max="15875" width="7.5" style="1" bestFit="1" customWidth="1"/>
    <col min="15876" max="15876" width="10.875" style="1" bestFit="1" customWidth="1"/>
    <col min="15877" max="15877" width="20.75" style="1" bestFit="1" customWidth="1"/>
    <col min="15878" max="15878" width="7.5" style="1" bestFit="1" customWidth="1"/>
    <col min="15879" max="15879" width="4.5" style="1" bestFit="1" customWidth="1"/>
    <col min="15880" max="15880" width="7.5" style="1" bestFit="1" customWidth="1"/>
    <col min="15881" max="15881" width="4.5" style="1" bestFit="1" customWidth="1"/>
    <col min="15882" max="15882" width="7.5" style="1" bestFit="1" customWidth="1"/>
    <col min="15883" max="15883" width="10.125" style="1" customWidth="1"/>
    <col min="15884" max="15884" width="26.75" style="1" bestFit="1" customWidth="1"/>
    <col min="15885" max="15885" width="5.125" style="1" bestFit="1" customWidth="1"/>
    <col min="15886" max="15886" width="5.25" style="1" bestFit="1" customWidth="1"/>
    <col min="15887" max="15887" width="5.5" style="1" bestFit="1" customWidth="1"/>
    <col min="15888" max="15888" width="8.25" style="1" bestFit="1" customWidth="1"/>
    <col min="15889" max="15889" width="4.5" style="1" bestFit="1" customWidth="1"/>
    <col min="15890" max="15891" width="7.5" style="1" bestFit="1" customWidth="1"/>
    <col min="15892" max="15892" width="11.375" style="1" bestFit="1" customWidth="1"/>
    <col min="15893" max="15893" width="6" style="1" bestFit="1" customWidth="1"/>
    <col min="15894" max="15894" width="11.375" style="1" bestFit="1" customWidth="1"/>
    <col min="15895" max="15895" width="5.25" style="1" bestFit="1" customWidth="1"/>
    <col min="15896" max="15896" width="85.25" style="1" bestFit="1" customWidth="1"/>
    <col min="15897" max="15897" width="8.875" style="1" bestFit="1" customWidth="1"/>
    <col min="15898" max="15898" width="8.5" style="1" bestFit="1" customWidth="1"/>
    <col min="15899" max="15899" width="3.75" style="1" bestFit="1" customWidth="1"/>
    <col min="15900" max="15900" width="9" style="1"/>
    <col min="15901" max="15901" width="15" style="1" bestFit="1" customWidth="1"/>
    <col min="15902" max="15902" width="24.25" style="1" bestFit="1" customWidth="1"/>
    <col min="15903" max="16128" width="9" style="1"/>
    <col min="16129" max="16129" width="12.875" style="1" bestFit="1" customWidth="1"/>
    <col min="16130" max="16130" width="6" style="1" bestFit="1" customWidth="1"/>
    <col min="16131" max="16131" width="7.5" style="1" bestFit="1" customWidth="1"/>
    <col min="16132" max="16132" width="10.875" style="1" bestFit="1" customWidth="1"/>
    <col min="16133" max="16133" width="20.75" style="1" bestFit="1" customWidth="1"/>
    <col min="16134" max="16134" width="7.5" style="1" bestFit="1" customWidth="1"/>
    <col min="16135" max="16135" width="4.5" style="1" bestFit="1" customWidth="1"/>
    <col min="16136" max="16136" width="7.5" style="1" bestFit="1" customWidth="1"/>
    <col min="16137" max="16137" width="4.5" style="1" bestFit="1" customWidth="1"/>
    <col min="16138" max="16138" width="7.5" style="1" bestFit="1" customWidth="1"/>
    <col min="16139" max="16139" width="10.125" style="1" customWidth="1"/>
    <col min="16140" max="16140" width="26.75" style="1" bestFit="1" customWidth="1"/>
    <col min="16141" max="16141" width="5.125" style="1" bestFit="1" customWidth="1"/>
    <col min="16142" max="16142" width="5.25" style="1" bestFit="1" customWidth="1"/>
    <col min="16143" max="16143" width="5.5" style="1" bestFit="1" customWidth="1"/>
    <col min="16144" max="16144" width="8.25" style="1" bestFit="1" customWidth="1"/>
    <col min="16145" max="16145" width="4.5" style="1" bestFit="1" customWidth="1"/>
    <col min="16146" max="16147" width="7.5" style="1" bestFit="1" customWidth="1"/>
    <col min="16148" max="16148" width="11.375" style="1" bestFit="1" customWidth="1"/>
    <col min="16149" max="16149" width="6" style="1" bestFit="1" customWidth="1"/>
    <col min="16150" max="16150" width="11.375" style="1" bestFit="1" customWidth="1"/>
    <col min="16151" max="16151" width="5.25" style="1" bestFit="1" customWidth="1"/>
    <col min="16152" max="16152" width="85.25" style="1" bestFit="1" customWidth="1"/>
    <col min="16153" max="16153" width="8.875" style="1" bestFit="1" customWidth="1"/>
    <col min="16154" max="16154" width="8.5" style="1" bestFit="1" customWidth="1"/>
    <col min="16155" max="16155" width="3.75" style="1" bestFit="1" customWidth="1"/>
    <col min="16156" max="16156" width="9" style="1"/>
    <col min="16157" max="16157" width="15" style="1" bestFit="1" customWidth="1"/>
    <col min="16158" max="16158" width="24.25" style="1" bestFit="1" customWidth="1"/>
    <col min="16159" max="16384" width="9" style="1"/>
  </cols>
  <sheetData>
    <row r="1" spans="1:46" ht="12.75" customHeight="1">
      <c r="A1" s="31" t="s">
        <v>590</v>
      </c>
      <c r="B1" s="31" t="s">
        <v>591</v>
      </c>
      <c r="C1" s="31" t="s">
        <v>592</v>
      </c>
      <c r="D1" s="31" t="s">
        <v>593</v>
      </c>
      <c r="E1" s="31" t="s">
        <v>594</v>
      </c>
      <c r="F1" s="31" t="s">
        <v>595</v>
      </c>
      <c r="G1" s="31" t="s">
        <v>596</v>
      </c>
      <c r="H1" s="31" t="s">
        <v>597</v>
      </c>
      <c r="I1" s="31" t="s">
        <v>598</v>
      </c>
      <c r="J1" s="31" t="s">
        <v>599</v>
      </c>
      <c r="K1" s="31" t="s">
        <v>600</v>
      </c>
      <c r="L1" s="31" t="s">
        <v>601</v>
      </c>
      <c r="M1" s="31" t="s">
        <v>602</v>
      </c>
      <c r="N1" s="31" t="s">
        <v>603</v>
      </c>
      <c r="O1" s="31" t="s">
        <v>604</v>
      </c>
      <c r="P1" s="31" t="s">
        <v>605</v>
      </c>
      <c r="Q1" s="31" t="s">
        <v>606</v>
      </c>
      <c r="R1" s="31" t="s">
        <v>607</v>
      </c>
      <c r="S1" s="31" t="s">
        <v>608</v>
      </c>
      <c r="T1" s="31" t="s">
        <v>609</v>
      </c>
      <c r="U1" s="31" t="s">
        <v>610</v>
      </c>
      <c r="V1" s="31" t="s">
        <v>611</v>
      </c>
      <c r="W1" s="31" t="s">
        <v>612</v>
      </c>
      <c r="X1" s="31" t="s">
        <v>613</v>
      </c>
      <c r="Y1" s="31" t="s">
        <v>614</v>
      </c>
      <c r="Z1" s="32" t="s">
        <v>615</v>
      </c>
      <c r="AB1" s="32" t="s">
        <v>616</v>
      </c>
      <c r="AD1" s="5" t="s">
        <v>617</v>
      </c>
    </row>
    <row r="2" spans="1:46" ht="12.75" customHeight="1">
      <c r="A2" s="39" t="s">
        <v>618</v>
      </c>
      <c r="B2" s="39" t="s">
        <v>619</v>
      </c>
      <c r="C2" s="39">
        <v>414122</v>
      </c>
      <c r="D2" s="39" t="s">
        <v>620</v>
      </c>
      <c r="E2" s="39" t="s">
        <v>1138</v>
      </c>
      <c r="F2" s="39" t="s">
        <v>621</v>
      </c>
      <c r="G2" s="39" t="s">
        <v>622</v>
      </c>
      <c r="H2" s="39">
        <v>40</v>
      </c>
      <c r="I2" s="39" t="s">
        <v>623</v>
      </c>
      <c r="J2" s="39"/>
      <c r="K2" s="39"/>
      <c r="L2" s="39" t="s">
        <v>624</v>
      </c>
      <c r="M2" s="39" t="s">
        <v>625</v>
      </c>
      <c r="N2" s="39" t="s">
        <v>626</v>
      </c>
      <c r="O2" s="39">
        <v>256</v>
      </c>
      <c r="P2" s="40">
        <v>45453</v>
      </c>
      <c r="Q2" s="39" t="s">
        <v>627</v>
      </c>
      <c r="R2" s="39" t="s">
        <v>628</v>
      </c>
      <c r="S2" s="39" t="s">
        <v>629</v>
      </c>
      <c r="T2" s="39" t="s">
        <v>630</v>
      </c>
      <c r="U2" s="39" t="s">
        <v>631</v>
      </c>
      <c r="V2" s="39"/>
      <c r="W2" s="39"/>
      <c r="X2" s="39" t="s">
        <v>632</v>
      </c>
      <c r="Y2" s="39" t="s">
        <v>633</v>
      </c>
      <c r="Z2" s="41" t="s">
        <v>634</v>
      </c>
      <c r="AA2" s="1" t="s">
        <v>635</v>
      </c>
      <c r="AB2" s="1">
        <v>1</v>
      </c>
      <c r="AC2" s="31"/>
      <c r="AD2" s="42" t="str">
        <f>IF(COUNTIF(Z:Z,1)&gt;9,"1号車　9件超えてます！！","")</f>
        <v/>
      </c>
      <c r="AM2" t="s">
        <v>636</v>
      </c>
    </row>
    <row r="3" spans="1:46" ht="12.75" customHeight="1">
      <c r="A3" s="39" t="s">
        <v>637</v>
      </c>
      <c r="B3" s="39" t="s">
        <v>619</v>
      </c>
      <c r="C3" s="39">
        <v>410649</v>
      </c>
      <c r="D3" s="39" t="s">
        <v>620</v>
      </c>
      <c r="E3" s="39" t="s">
        <v>1139</v>
      </c>
      <c r="F3" s="39" t="s">
        <v>621</v>
      </c>
      <c r="G3" s="39" t="s">
        <v>622</v>
      </c>
      <c r="H3" s="39">
        <v>40</v>
      </c>
      <c r="I3" s="39" t="s">
        <v>623</v>
      </c>
      <c r="J3" s="39"/>
      <c r="K3" s="39"/>
      <c r="L3" s="39" t="s">
        <v>638</v>
      </c>
      <c r="M3" s="39" t="s">
        <v>625</v>
      </c>
      <c r="N3" s="39" t="s">
        <v>626</v>
      </c>
      <c r="O3" s="39">
        <v>290</v>
      </c>
      <c r="P3" s="40">
        <v>45453</v>
      </c>
      <c r="Q3" s="39" t="s">
        <v>627</v>
      </c>
      <c r="R3" s="39" t="s">
        <v>628</v>
      </c>
      <c r="S3" s="39" t="s">
        <v>629</v>
      </c>
      <c r="T3" s="39" t="s">
        <v>630</v>
      </c>
      <c r="U3" s="39" t="s">
        <v>631</v>
      </c>
      <c r="V3" s="39"/>
      <c r="W3" s="39"/>
      <c r="X3" s="39" t="s">
        <v>639</v>
      </c>
      <c r="Y3" s="39" t="s">
        <v>640</v>
      </c>
      <c r="Z3" s="41" t="s">
        <v>634</v>
      </c>
      <c r="AA3" s="1" t="s">
        <v>641</v>
      </c>
      <c r="AB3" s="1">
        <v>1</v>
      </c>
      <c r="AC3" s="31"/>
      <c r="AD3" s="42" t="str">
        <f>IF(COUNTIF(Z:Z,2)&gt;9,"2号車　9件超えてます！！","")</f>
        <v/>
      </c>
      <c r="AK3" t="s">
        <v>642</v>
      </c>
      <c r="AL3" t="s">
        <v>642</v>
      </c>
      <c r="AM3" t="s">
        <v>642</v>
      </c>
      <c r="AN3" t="s">
        <v>642</v>
      </c>
      <c r="AO3" t="s">
        <v>642</v>
      </c>
      <c r="AP3" t="s">
        <v>642</v>
      </c>
      <c r="AQ3" t="s">
        <v>642</v>
      </c>
      <c r="AR3" t="s">
        <v>642</v>
      </c>
      <c r="AS3" t="s">
        <v>642</v>
      </c>
      <c r="AT3" t="s">
        <v>642</v>
      </c>
    </row>
    <row r="4" spans="1:46" ht="12.75" customHeight="1">
      <c r="A4" s="39" t="s">
        <v>643</v>
      </c>
      <c r="B4" s="39" t="s">
        <v>619</v>
      </c>
      <c r="C4" s="39">
        <v>414359</v>
      </c>
      <c r="D4" s="39" t="s">
        <v>620</v>
      </c>
      <c r="E4" s="39" t="s">
        <v>1140</v>
      </c>
      <c r="F4" s="39" t="s">
        <v>621</v>
      </c>
      <c r="G4" s="39" t="s">
        <v>622</v>
      </c>
      <c r="H4" s="39">
        <v>70</v>
      </c>
      <c r="I4" s="39" t="s">
        <v>623</v>
      </c>
      <c r="J4" s="39"/>
      <c r="K4" s="39"/>
      <c r="L4" s="39" t="s">
        <v>644</v>
      </c>
      <c r="M4" s="39" t="s">
        <v>645</v>
      </c>
      <c r="N4" s="39" t="s">
        <v>626</v>
      </c>
      <c r="O4" s="39">
        <v>430</v>
      </c>
      <c r="P4" s="40">
        <v>45453</v>
      </c>
      <c r="Q4" s="39" t="s">
        <v>627</v>
      </c>
      <c r="R4" s="39" t="s">
        <v>628</v>
      </c>
      <c r="S4" s="39" t="s">
        <v>629</v>
      </c>
      <c r="T4" s="39" t="s">
        <v>630</v>
      </c>
      <c r="U4" s="39" t="s">
        <v>631</v>
      </c>
      <c r="V4" s="39"/>
      <c r="W4" s="39"/>
      <c r="X4" s="39" t="s">
        <v>646</v>
      </c>
      <c r="Y4" s="39" t="s">
        <v>633</v>
      </c>
      <c r="Z4" s="41" t="s">
        <v>634</v>
      </c>
      <c r="AA4" s="1" t="s">
        <v>647</v>
      </c>
      <c r="AB4" s="1">
        <v>1</v>
      </c>
      <c r="AC4" s="31"/>
      <c r="AD4" s="42" t="str">
        <f>IF(COUNTIF(Z:Z,3)&gt;9,"3号車　9件超えてます！！","")</f>
        <v/>
      </c>
      <c r="AK4" t="s">
        <v>642</v>
      </c>
      <c r="AL4" t="s">
        <v>642</v>
      </c>
      <c r="AM4" t="s">
        <v>642</v>
      </c>
      <c r="AN4" t="s">
        <v>642</v>
      </c>
      <c r="AO4" t="s">
        <v>642</v>
      </c>
      <c r="AP4" t="s">
        <v>642</v>
      </c>
      <c r="AQ4" t="s">
        <v>642</v>
      </c>
      <c r="AR4" t="s">
        <v>642</v>
      </c>
      <c r="AS4" t="s">
        <v>642</v>
      </c>
      <c r="AT4" t="s">
        <v>642</v>
      </c>
    </row>
    <row r="5" spans="1:46" ht="12.75" customHeight="1">
      <c r="A5" s="39" t="s">
        <v>648</v>
      </c>
      <c r="B5" s="39" t="s">
        <v>649</v>
      </c>
      <c r="C5" s="39">
        <v>415506</v>
      </c>
      <c r="D5" s="39" t="s">
        <v>409</v>
      </c>
      <c r="E5" s="39" t="s">
        <v>650</v>
      </c>
      <c r="F5" s="39" t="s">
        <v>621</v>
      </c>
      <c r="G5" s="39" t="s">
        <v>623</v>
      </c>
      <c r="H5" s="39"/>
      <c r="I5" s="39" t="s">
        <v>623</v>
      </c>
      <c r="J5" s="39"/>
      <c r="K5" s="39"/>
      <c r="L5" s="39" t="s">
        <v>651</v>
      </c>
      <c r="M5" s="39" t="s">
        <v>625</v>
      </c>
      <c r="N5" s="39"/>
      <c r="O5" s="39">
        <v>329</v>
      </c>
      <c r="P5" s="40">
        <v>45453</v>
      </c>
      <c r="Q5" s="39" t="s">
        <v>627</v>
      </c>
      <c r="R5" s="39" t="s">
        <v>652</v>
      </c>
      <c r="S5" s="39" t="s">
        <v>653</v>
      </c>
      <c r="T5" s="39" t="s">
        <v>654</v>
      </c>
      <c r="U5" s="39"/>
      <c r="V5" s="39"/>
      <c r="W5" s="39"/>
      <c r="X5" s="39" t="s">
        <v>655</v>
      </c>
      <c r="Y5" s="39" t="s">
        <v>656</v>
      </c>
      <c r="Z5" s="41" t="s">
        <v>657</v>
      </c>
      <c r="AA5" s="1" t="s">
        <v>658</v>
      </c>
      <c r="AB5" s="1">
        <v>1</v>
      </c>
      <c r="AC5" s="31"/>
      <c r="AD5" s="42" t="str">
        <f>IF(COUNTIF(Z:Z,4)&gt;9,"4号車　9件超えてます！！","")</f>
        <v/>
      </c>
      <c r="AK5" t="s">
        <v>642</v>
      </c>
      <c r="AL5" t="s">
        <v>642</v>
      </c>
      <c r="AM5" t="s">
        <v>642</v>
      </c>
      <c r="AN5" t="s">
        <v>642</v>
      </c>
      <c r="AO5" t="s">
        <v>642</v>
      </c>
      <c r="AP5" t="s">
        <v>642</v>
      </c>
      <c r="AQ5" t="s">
        <v>642</v>
      </c>
      <c r="AR5" t="s">
        <v>642</v>
      </c>
      <c r="AS5" t="s">
        <v>642</v>
      </c>
      <c r="AT5" t="s">
        <v>642</v>
      </c>
    </row>
    <row r="6" spans="1:46" ht="12.75" customHeight="1">
      <c r="A6" s="39">
        <v>202404042542</v>
      </c>
      <c r="B6" s="39" t="s">
        <v>649</v>
      </c>
      <c r="C6" s="39">
        <v>410211</v>
      </c>
      <c r="D6" s="39" t="s">
        <v>10</v>
      </c>
      <c r="E6" s="39" t="s">
        <v>659</v>
      </c>
      <c r="F6" s="39" t="s">
        <v>621</v>
      </c>
      <c r="G6" s="39" t="s">
        <v>623</v>
      </c>
      <c r="H6" s="39">
        <v>0</v>
      </c>
      <c r="I6" s="39" t="s">
        <v>622</v>
      </c>
      <c r="J6" s="39">
        <v>30</v>
      </c>
      <c r="K6" s="39" t="s">
        <v>1141</v>
      </c>
      <c r="L6" s="39" t="s">
        <v>660</v>
      </c>
      <c r="M6" s="39" t="s">
        <v>625</v>
      </c>
      <c r="N6" s="39"/>
      <c r="O6" s="39">
        <v>346</v>
      </c>
      <c r="P6" s="40">
        <v>45453</v>
      </c>
      <c r="Q6" s="39" t="s">
        <v>627</v>
      </c>
      <c r="R6" s="39" t="s">
        <v>652</v>
      </c>
      <c r="S6" s="39" t="s">
        <v>661</v>
      </c>
      <c r="T6" s="39" t="s">
        <v>662</v>
      </c>
      <c r="U6" s="39"/>
      <c r="V6" s="39"/>
      <c r="W6" s="39" t="s">
        <v>1141</v>
      </c>
      <c r="X6" s="39" t="s">
        <v>663</v>
      </c>
      <c r="Y6" s="39" t="s">
        <v>664</v>
      </c>
      <c r="Z6" s="41" t="s">
        <v>657</v>
      </c>
      <c r="AA6" s="1" t="s">
        <v>665</v>
      </c>
      <c r="AB6" s="1">
        <v>1</v>
      </c>
      <c r="AC6" s="31"/>
      <c r="AD6" s="42" t="str">
        <f>IF(COUNTIF(Z:Z,5)&gt;9,"5号車　9件超えてます！！","")</f>
        <v/>
      </c>
      <c r="AK6" t="s">
        <v>642</v>
      </c>
      <c r="AL6" t="s">
        <v>642</v>
      </c>
      <c r="AM6" t="s">
        <v>642</v>
      </c>
      <c r="AN6" t="s">
        <v>642</v>
      </c>
      <c r="AO6" t="s">
        <v>642</v>
      </c>
      <c r="AP6" t="s">
        <v>642</v>
      </c>
      <c r="AQ6" t="s">
        <v>642</v>
      </c>
      <c r="AR6" t="s">
        <v>642</v>
      </c>
      <c r="AS6" t="s">
        <v>642</v>
      </c>
      <c r="AT6" t="s">
        <v>642</v>
      </c>
    </row>
    <row r="7" spans="1:46" ht="12.75" customHeight="1">
      <c r="A7" s="39" t="s">
        <v>666</v>
      </c>
      <c r="B7" s="39" t="s">
        <v>649</v>
      </c>
      <c r="C7" s="39">
        <v>418512</v>
      </c>
      <c r="D7" s="39" t="s">
        <v>667</v>
      </c>
      <c r="E7" s="39" t="s">
        <v>668</v>
      </c>
      <c r="F7" s="39" t="s">
        <v>621</v>
      </c>
      <c r="G7" s="39" t="s">
        <v>623</v>
      </c>
      <c r="H7" s="39"/>
      <c r="I7" s="39" t="s">
        <v>622</v>
      </c>
      <c r="J7" s="39">
        <v>30</v>
      </c>
      <c r="K7" s="39" t="s">
        <v>669</v>
      </c>
      <c r="L7" s="39" t="s">
        <v>660</v>
      </c>
      <c r="M7" s="39" t="s">
        <v>625</v>
      </c>
      <c r="N7" s="39"/>
      <c r="O7" s="39">
        <v>335</v>
      </c>
      <c r="P7" s="40">
        <v>45453</v>
      </c>
      <c r="Q7" s="39" t="s">
        <v>627</v>
      </c>
      <c r="R7" s="39" t="s">
        <v>652</v>
      </c>
      <c r="S7" s="39" t="s">
        <v>670</v>
      </c>
      <c r="T7" s="39" t="s">
        <v>671</v>
      </c>
      <c r="U7" s="39"/>
      <c r="V7" s="39"/>
      <c r="W7" s="39" t="s">
        <v>672</v>
      </c>
      <c r="X7" s="39" t="s">
        <v>673</v>
      </c>
      <c r="Y7" s="39" t="s">
        <v>664</v>
      </c>
      <c r="Z7" s="41" t="s">
        <v>657</v>
      </c>
      <c r="AA7" s="1" t="s">
        <v>674</v>
      </c>
      <c r="AB7" s="1">
        <v>1</v>
      </c>
      <c r="AC7" s="31"/>
      <c r="AD7" s="42" t="str">
        <f>IF(COUNTIF(Z:Z,6)&gt;9,"6号車　9件超えてます！！","")</f>
        <v/>
      </c>
      <c r="AK7" t="s">
        <v>642</v>
      </c>
      <c r="AL7" t="s">
        <v>642</v>
      </c>
      <c r="AM7" t="s">
        <v>642</v>
      </c>
      <c r="AN7" t="s">
        <v>642</v>
      </c>
      <c r="AO7" t="s">
        <v>642</v>
      </c>
      <c r="AP7" t="s">
        <v>642</v>
      </c>
      <c r="AQ7" t="s">
        <v>642</v>
      </c>
      <c r="AR7" t="s">
        <v>642</v>
      </c>
      <c r="AS7" t="s">
        <v>642</v>
      </c>
      <c r="AT7" t="s">
        <v>642</v>
      </c>
    </row>
    <row r="8" spans="1:46" ht="12.75" customHeight="1">
      <c r="A8" s="39" t="s">
        <v>675</v>
      </c>
      <c r="B8" s="39" t="s">
        <v>649</v>
      </c>
      <c r="C8" s="39">
        <v>409067</v>
      </c>
      <c r="D8" s="39" t="s">
        <v>676</v>
      </c>
      <c r="E8" s="39" t="s">
        <v>677</v>
      </c>
      <c r="F8" s="39" t="s">
        <v>621</v>
      </c>
      <c r="G8" s="39" t="s">
        <v>622</v>
      </c>
      <c r="H8" s="39">
        <v>50</v>
      </c>
      <c r="I8" s="39" t="s">
        <v>622</v>
      </c>
      <c r="J8" s="39">
        <v>30</v>
      </c>
      <c r="K8" s="39" t="s">
        <v>678</v>
      </c>
      <c r="L8" s="39" t="s">
        <v>679</v>
      </c>
      <c r="M8" s="39" t="s">
        <v>625</v>
      </c>
      <c r="N8" s="39"/>
      <c r="O8" s="39">
        <v>360</v>
      </c>
      <c r="P8" s="40">
        <v>45453</v>
      </c>
      <c r="Q8" s="39" t="s">
        <v>627</v>
      </c>
      <c r="R8" s="39" t="s">
        <v>652</v>
      </c>
      <c r="S8" s="39" t="s">
        <v>680</v>
      </c>
      <c r="T8" s="39" t="s">
        <v>681</v>
      </c>
      <c r="U8" s="39"/>
      <c r="V8" s="39"/>
      <c r="W8" s="39"/>
      <c r="X8" s="39" t="s">
        <v>682</v>
      </c>
      <c r="Y8" s="39" t="s">
        <v>664</v>
      </c>
      <c r="Z8" s="41" t="s">
        <v>657</v>
      </c>
      <c r="AA8" s="1" t="s">
        <v>683</v>
      </c>
      <c r="AB8" s="1">
        <v>1</v>
      </c>
      <c r="AC8" s="31"/>
      <c r="AD8" s="42" t="str">
        <f>IF(COUNTIF(Z:Z,7)&gt;9,"7号車　9件超えてます！！","")</f>
        <v/>
      </c>
      <c r="AK8" t="s">
        <v>642</v>
      </c>
      <c r="AL8" t="s">
        <v>642</v>
      </c>
      <c r="AM8" t="s">
        <v>642</v>
      </c>
      <c r="AN8" t="s">
        <v>642</v>
      </c>
      <c r="AO8" t="s">
        <v>642</v>
      </c>
      <c r="AP8" t="s">
        <v>642</v>
      </c>
      <c r="AQ8" t="s">
        <v>642</v>
      </c>
      <c r="AR8" t="s">
        <v>642</v>
      </c>
      <c r="AS8" t="s">
        <v>642</v>
      </c>
      <c r="AT8" t="s">
        <v>642</v>
      </c>
    </row>
    <row r="9" spans="1:46" ht="12.75" customHeight="1">
      <c r="A9" s="39" t="s">
        <v>684</v>
      </c>
      <c r="B9" s="39" t="s">
        <v>649</v>
      </c>
      <c r="C9" s="39">
        <v>412493</v>
      </c>
      <c r="D9" s="39" t="s">
        <v>676</v>
      </c>
      <c r="E9" s="39" t="s">
        <v>685</v>
      </c>
      <c r="F9" s="39" t="s">
        <v>621</v>
      </c>
      <c r="G9" s="39" t="s">
        <v>622</v>
      </c>
      <c r="H9" s="39">
        <v>50</v>
      </c>
      <c r="I9" s="39" t="s">
        <v>622</v>
      </c>
      <c r="J9" s="39">
        <v>30</v>
      </c>
      <c r="K9" s="39" t="s">
        <v>678</v>
      </c>
      <c r="L9" s="39" t="s">
        <v>686</v>
      </c>
      <c r="M9" s="39" t="s">
        <v>625</v>
      </c>
      <c r="N9" s="39"/>
      <c r="O9" s="39">
        <v>360</v>
      </c>
      <c r="P9" s="40">
        <v>45453</v>
      </c>
      <c r="Q9" s="39" t="s">
        <v>627</v>
      </c>
      <c r="R9" s="39" t="s">
        <v>652</v>
      </c>
      <c r="S9" s="39" t="s">
        <v>680</v>
      </c>
      <c r="T9" s="39" t="s">
        <v>681</v>
      </c>
      <c r="U9" s="39"/>
      <c r="V9" s="39"/>
      <c r="W9" s="39"/>
      <c r="X9" s="39" t="s">
        <v>687</v>
      </c>
      <c r="Y9" s="39" t="s">
        <v>664</v>
      </c>
      <c r="Z9" s="41" t="s">
        <v>657</v>
      </c>
      <c r="AA9" s="1" t="s">
        <v>688</v>
      </c>
      <c r="AB9" s="1">
        <v>1</v>
      </c>
      <c r="AC9" s="31"/>
      <c r="AD9" s="42" t="str">
        <f>IF(COUNTIF(Z:Z,9)&gt;9,"9号車　9件超えてます！！","")</f>
        <v/>
      </c>
      <c r="AK9" t="s">
        <v>642</v>
      </c>
      <c r="AL9" t="s">
        <v>642</v>
      </c>
      <c r="AM9" t="s">
        <v>642</v>
      </c>
      <c r="AN9" t="s">
        <v>642</v>
      </c>
      <c r="AO9" t="s">
        <v>642</v>
      </c>
      <c r="AP9" t="s">
        <v>642</v>
      </c>
      <c r="AQ9" t="s">
        <v>642</v>
      </c>
      <c r="AR9" t="s">
        <v>642</v>
      </c>
      <c r="AS9" t="s">
        <v>642</v>
      </c>
      <c r="AT9" t="s">
        <v>642</v>
      </c>
    </row>
    <row r="10" spans="1:46" ht="12.75" customHeight="1">
      <c r="A10" s="39" t="s">
        <v>689</v>
      </c>
      <c r="B10" s="39" t="s">
        <v>649</v>
      </c>
      <c r="C10" s="39">
        <v>401508</v>
      </c>
      <c r="D10" s="39" t="s">
        <v>690</v>
      </c>
      <c r="E10" s="39" t="s">
        <v>691</v>
      </c>
      <c r="F10" s="39" t="s">
        <v>621</v>
      </c>
      <c r="G10" s="39" t="s">
        <v>622</v>
      </c>
      <c r="H10" s="39">
        <v>50</v>
      </c>
      <c r="I10" s="39" t="s">
        <v>623</v>
      </c>
      <c r="J10" s="39"/>
      <c r="K10" s="39"/>
      <c r="L10" s="39" t="s">
        <v>692</v>
      </c>
      <c r="M10" s="39" t="s">
        <v>625</v>
      </c>
      <c r="N10" s="39"/>
      <c r="O10" s="39">
        <v>363</v>
      </c>
      <c r="P10" s="40">
        <v>45453</v>
      </c>
      <c r="Q10" s="39" t="s">
        <v>627</v>
      </c>
      <c r="R10" s="39" t="s">
        <v>652</v>
      </c>
      <c r="S10" s="39" t="s">
        <v>1142</v>
      </c>
      <c r="T10" s="39" t="s">
        <v>693</v>
      </c>
      <c r="U10" s="39"/>
      <c r="V10" s="39"/>
      <c r="W10" s="39"/>
      <c r="X10" s="39" t="s">
        <v>694</v>
      </c>
      <c r="Y10" s="39" t="s">
        <v>695</v>
      </c>
      <c r="Z10" s="41" t="s">
        <v>657</v>
      </c>
      <c r="AA10" s="1" t="s">
        <v>696</v>
      </c>
      <c r="AB10" s="1">
        <v>1</v>
      </c>
      <c r="AC10" s="31"/>
      <c r="AD10" s="42" t="str">
        <f>IF(COUNTIF(Z:Z,10)&gt;9,"10号車　9件超えてます！！","")</f>
        <v/>
      </c>
      <c r="AK10" t="s">
        <v>642</v>
      </c>
      <c r="AL10" t="s">
        <v>642</v>
      </c>
      <c r="AM10" t="s">
        <v>642</v>
      </c>
      <c r="AN10" t="s">
        <v>642</v>
      </c>
      <c r="AO10" t="s">
        <v>642</v>
      </c>
      <c r="AP10" t="s">
        <v>642</v>
      </c>
      <c r="AQ10" t="s">
        <v>642</v>
      </c>
      <c r="AR10" t="s">
        <v>642</v>
      </c>
      <c r="AS10" t="s">
        <v>642</v>
      </c>
      <c r="AT10" t="s">
        <v>642</v>
      </c>
    </row>
    <row r="11" spans="1:46" ht="12.75" customHeight="1">
      <c r="A11" s="39" t="s">
        <v>697</v>
      </c>
      <c r="B11" s="39" t="s">
        <v>698</v>
      </c>
      <c r="C11" s="39">
        <v>405672</v>
      </c>
      <c r="D11" s="39" t="s">
        <v>495</v>
      </c>
      <c r="E11" s="39" t="s">
        <v>1143</v>
      </c>
      <c r="F11" s="39" t="s">
        <v>621</v>
      </c>
      <c r="G11" s="39" t="s">
        <v>623</v>
      </c>
      <c r="H11" s="39"/>
      <c r="I11" s="39" t="s">
        <v>623</v>
      </c>
      <c r="J11" s="39"/>
      <c r="K11" s="39"/>
      <c r="L11" s="39" t="s">
        <v>699</v>
      </c>
      <c r="M11" s="39" t="s">
        <v>625</v>
      </c>
      <c r="N11" s="39"/>
      <c r="O11" s="39">
        <v>355</v>
      </c>
      <c r="P11" s="40">
        <v>45453</v>
      </c>
      <c r="Q11" s="39" t="s">
        <v>627</v>
      </c>
      <c r="R11" s="39" t="s">
        <v>700</v>
      </c>
      <c r="S11" s="39" t="s">
        <v>701</v>
      </c>
      <c r="T11" s="39"/>
      <c r="U11" s="39"/>
      <c r="V11" s="39"/>
      <c r="W11" s="39"/>
      <c r="X11" s="39" t="s">
        <v>702</v>
      </c>
      <c r="Y11" s="39" t="s">
        <v>703</v>
      </c>
      <c r="Z11" s="41" t="s">
        <v>704</v>
      </c>
      <c r="AA11" s="1" t="s">
        <v>705</v>
      </c>
      <c r="AB11" s="1">
        <v>1</v>
      </c>
      <c r="AC11" s="31"/>
      <c r="AD11" s="42" t="str">
        <f>IF(COUNTIF(Z:Z,11)&gt;9,"11号車　9件超えてます！！","")</f>
        <v/>
      </c>
    </row>
    <row r="12" spans="1:46" ht="12.75" customHeight="1">
      <c r="A12" s="39" t="s">
        <v>706</v>
      </c>
      <c r="B12" s="39" t="s">
        <v>698</v>
      </c>
      <c r="C12" s="39">
        <v>412269</v>
      </c>
      <c r="D12" s="39" t="s">
        <v>424</v>
      </c>
      <c r="E12" s="39" t="s">
        <v>1144</v>
      </c>
      <c r="F12" s="39" t="s">
        <v>621</v>
      </c>
      <c r="G12" s="39" t="s">
        <v>707</v>
      </c>
      <c r="H12" s="39">
        <v>17</v>
      </c>
      <c r="I12" s="39" t="s">
        <v>622</v>
      </c>
      <c r="J12" s="39">
        <v>31</v>
      </c>
      <c r="K12" s="39" t="s">
        <v>708</v>
      </c>
      <c r="L12" s="39" t="s">
        <v>709</v>
      </c>
      <c r="M12" s="39" t="s">
        <v>625</v>
      </c>
      <c r="N12" s="39"/>
      <c r="O12" s="39">
        <v>349</v>
      </c>
      <c r="P12" s="40">
        <v>45453</v>
      </c>
      <c r="Q12" s="39" t="s">
        <v>627</v>
      </c>
      <c r="R12" s="39" t="s">
        <v>700</v>
      </c>
      <c r="S12" s="39" t="s">
        <v>710</v>
      </c>
      <c r="T12" s="39" t="s">
        <v>711</v>
      </c>
      <c r="U12" s="39"/>
      <c r="V12" s="39"/>
      <c r="W12" s="39"/>
      <c r="X12" s="39" t="s">
        <v>712</v>
      </c>
      <c r="Y12" s="39" t="s">
        <v>656</v>
      </c>
      <c r="Z12" s="41" t="s">
        <v>704</v>
      </c>
      <c r="AA12" s="1" t="s">
        <v>713</v>
      </c>
      <c r="AB12" s="1">
        <v>1</v>
      </c>
      <c r="AC12" s="31"/>
      <c r="AD12" s="42" t="str">
        <f>IF(COUNTIF(Z:Z,12)&gt;9,"12号車　9件超えてます！！","")</f>
        <v/>
      </c>
      <c r="AM12" t="s">
        <v>714</v>
      </c>
    </row>
    <row r="13" spans="1:46" ht="12.75" customHeight="1">
      <c r="A13" s="39" t="s">
        <v>715</v>
      </c>
      <c r="B13" s="39" t="s">
        <v>716</v>
      </c>
      <c r="C13" s="39">
        <v>414239</v>
      </c>
      <c r="D13" s="39" t="s">
        <v>667</v>
      </c>
      <c r="E13" s="39" t="s">
        <v>717</v>
      </c>
      <c r="F13" s="39" t="s">
        <v>621</v>
      </c>
      <c r="G13" s="39" t="s">
        <v>623</v>
      </c>
      <c r="H13" s="39"/>
      <c r="I13" s="39" t="s">
        <v>622</v>
      </c>
      <c r="J13" s="39">
        <v>30</v>
      </c>
      <c r="K13" s="39" t="s">
        <v>669</v>
      </c>
      <c r="L13" s="39" t="s">
        <v>718</v>
      </c>
      <c r="M13" s="39" t="s">
        <v>625</v>
      </c>
      <c r="N13" s="39"/>
      <c r="O13" s="39">
        <v>355</v>
      </c>
      <c r="P13" s="40">
        <v>45453</v>
      </c>
      <c r="Q13" s="39" t="s">
        <v>627</v>
      </c>
      <c r="R13" s="39" t="s">
        <v>719</v>
      </c>
      <c r="S13" s="39" t="s">
        <v>720</v>
      </c>
      <c r="T13" s="39" t="s">
        <v>721</v>
      </c>
      <c r="U13" s="39"/>
      <c r="V13" s="39"/>
      <c r="W13" s="39" t="s">
        <v>1145</v>
      </c>
      <c r="X13" s="39" t="s">
        <v>722</v>
      </c>
      <c r="Y13" s="39" t="s">
        <v>664</v>
      </c>
      <c r="Z13" s="41" t="s">
        <v>704</v>
      </c>
      <c r="AA13" s="1" t="s">
        <v>723</v>
      </c>
      <c r="AB13" s="1">
        <v>1</v>
      </c>
      <c r="AC13" s="31"/>
      <c r="AD13" s="42" t="str">
        <f>IF(COUNTIF(Z:Z,13)&gt;9,"13号車　9件超えてます！！","")</f>
        <v/>
      </c>
      <c r="AM13" t="s">
        <v>724</v>
      </c>
    </row>
    <row r="14" spans="1:46" ht="12.75" customHeight="1">
      <c r="A14" s="39" t="s">
        <v>725</v>
      </c>
      <c r="B14" s="39" t="s">
        <v>716</v>
      </c>
      <c r="C14" s="39">
        <v>414240</v>
      </c>
      <c r="D14" s="39" t="s">
        <v>667</v>
      </c>
      <c r="E14" s="39" t="s">
        <v>726</v>
      </c>
      <c r="F14" s="39" t="s">
        <v>621</v>
      </c>
      <c r="G14" s="39" t="s">
        <v>623</v>
      </c>
      <c r="H14" s="39"/>
      <c r="I14" s="39" t="s">
        <v>622</v>
      </c>
      <c r="J14" s="39">
        <v>30</v>
      </c>
      <c r="K14" s="39" t="s">
        <v>669</v>
      </c>
      <c r="L14" s="39" t="s">
        <v>718</v>
      </c>
      <c r="M14" s="39" t="s">
        <v>625</v>
      </c>
      <c r="N14" s="39"/>
      <c r="O14" s="39">
        <v>355</v>
      </c>
      <c r="P14" s="40">
        <v>45453</v>
      </c>
      <c r="Q14" s="39" t="s">
        <v>627</v>
      </c>
      <c r="R14" s="39" t="s">
        <v>719</v>
      </c>
      <c r="S14" s="39" t="s">
        <v>720</v>
      </c>
      <c r="T14" s="39" t="s">
        <v>721</v>
      </c>
      <c r="U14" s="39"/>
      <c r="V14" s="39"/>
      <c r="W14" s="39" t="s">
        <v>1145</v>
      </c>
      <c r="X14" s="39" t="s">
        <v>727</v>
      </c>
      <c r="Y14" s="39" t="s">
        <v>664</v>
      </c>
      <c r="Z14" s="41" t="s">
        <v>704</v>
      </c>
      <c r="AA14" s="1" t="s">
        <v>728</v>
      </c>
      <c r="AB14" s="1">
        <v>1</v>
      </c>
      <c r="AC14" s="31"/>
      <c r="AD14" s="42" t="str">
        <f>IF(COUNTIF(Z:Z,14)&gt;9,"14号車　9件超えてます！！","")</f>
        <v/>
      </c>
      <c r="AK14" t="s">
        <v>642</v>
      </c>
      <c r="AL14" t="s">
        <v>642</v>
      </c>
      <c r="AM14" t="s">
        <v>642</v>
      </c>
      <c r="AN14" t="s">
        <v>642</v>
      </c>
      <c r="AO14" t="s">
        <v>642</v>
      </c>
      <c r="AP14" t="s">
        <v>642</v>
      </c>
      <c r="AQ14" t="s">
        <v>642</v>
      </c>
      <c r="AR14" t="s">
        <v>642</v>
      </c>
      <c r="AS14" t="s">
        <v>642</v>
      </c>
      <c r="AT14" t="s">
        <v>642</v>
      </c>
    </row>
    <row r="15" spans="1:46" ht="12.75" customHeight="1">
      <c r="A15" s="39" t="s">
        <v>729</v>
      </c>
      <c r="B15" s="39" t="s">
        <v>716</v>
      </c>
      <c r="C15" s="39">
        <v>414241</v>
      </c>
      <c r="D15" s="39" t="s">
        <v>667</v>
      </c>
      <c r="E15" s="39" t="s">
        <v>730</v>
      </c>
      <c r="F15" s="39" t="s">
        <v>621</v>
      </c>
      <c r="G15" s="39" t="s">
        <v>623</v>
      </c>
      <c r="H15" s="39"/>
      <c r="I15" s="39" t="s">
        <v>622</v>
      </c>
      <c r="J15" s="39">
        <v>30</v>
      </c>
      <c r="K15" s="39" t="s">
        <v>669</v>
      </c>
      <c r="L15" s="39" t="s">
        <v>718</v>
      </c>
      <c r="M15" s="39" t="s">
        <v>625</v>
      </c>
      <c r="N15" s="39"/>
      <c r="O15" s="39">
        <v>355</v>
      </c>
      <c r="P15" s="40">
        <v>45453</v>
      </c>
      <c r="Q15" s="39" t="s">
        <v>627</v>
      </c>
      <c r="R15" s="39" t="s">
        <v>719</v>
      </c>
      <c r="S15" s="39" t="s">
        <v>720</v>
      </c>
      <c r="T15" s="39" t="s">
        <v>721</v>
      </c>
      <c r="U15" s="39"/>
      <c r="V15" s="39"/>
      <c r="W15" s="39" t="s">
        <v>1145</v>
      </c>
      <c r="X15" s="39" t="s">
        <v>731</v>
      </c>
      <c r="Y15" s="39" t="s">
        <v>664</v>
      </c>
      <c r="Z15" s="41" t="s">
        <v>704</v>
      </c>
      <c r="AA15" s="1" t="s">
        <v>732</v>
      </c>
      <c r="AB15" s="1">
        <v>1</v>
      </c>
      <c r="AC15" s="31"/>
      <c r="AD15" s="42" t="str">
        <f>IF(COUNTIF(Z:Z,16)&gt;9,"16号車　9件超えてます！！","")</f>
        <v/>
      </c>
      <c r="AK15" t="s">
        <v>642</v>
      </c>
      <c r="AL15" t="s">
        <v>642</v>
      </c>
      <c r="AM15" t="s">
        <v>642</v>
      </c>
      <c r="AN15" t="s">
        <v>642</v>
      </c>
      <c r="AO15" t="s">
        <v>642</v>
      </c>
      <c r="AP15" t="s">
        <v>642</v>
      </c>
      <c r="AQ15" t="s">
        <v>642</v>
      </c>
      <c r="AR15" t="s">
        <v>642</v>
      </c>
      <c r="AS15" t="s">
        <v>642</v>
      </c>
      <c r="AT15" t="s">
        <v>642</v>
      </c>
    </row>
    <row r="16" spans="1:46" ht="12.75" customHeight="1">
      <c r="A16" s="39">
        <v>202404276577</v>
      </c>
      <c r="B16" s="39" t="s">
        <v>716</v>
      </c>
      <c r="C16" s="39">
        <v>413949</v>
      </c>
      <c r="D16" s="39" t="s">
        <v>10</v>
      </c>
      <c r="E16" s="39" t="s">
        <v>733</v>
      </c>
      <c r="F16" s="39" t="s">
        <v>621</v>
      </c>
      <c r="G16" s="39" t="s">
        <v>623</v>
      </c>
      <c r="H16" s="39"/>
      <c r="I16" s="39" t="s">
        <v>622</v>
      </c>
      <c r="J16" s="39">
        <v>30</v>
      </c>
      <c r="K16" s="39"/>
      <c r="L16" s="39" t="s">
        <v>734</v>
      </c>
      <c r="M16" s="39" t="s">
        <v>625</v>
      </c>
      <c r="N16" s="39"/>
      <c r="O16" s="39">
        <v>323</v>
      </c>
      <c r="P16" s="40">
        <v>45453</v>
      </c>
      <c r="Q16" s="39" t="s">
        <v>627</v>
      </c>
      <c r="R16" s="39" t="s">
        <v>719</v>
      </c>
      <c r="S16" s="39" t="s">
        <v>735</v>
      </c>
      <c r="T16" s="39" t="s">
        <v>736</v>
      </c>
      <c r="U16" s="39"/>
      <c r="V16" s="39"/>
      <c r="W16" s="39" t="s">
        <v>1146</v>
      </c>
      <c r="X16" s="39" t="s">
        <v>737</v>
      </c>
      <c r="Y16" s="39" t="s">
        <v>664</v>
      </c>
      <c r="Z16" s="41" t="s">
        <v>657</v>
      </c>
      <c r="AA16" s="1" t="s">
        <v>738</v>
      </c>
      <c r="AB16" s="1">
        <v>1</v>
      </c>
      <c r="AC16" s="31"/>
      <c r="AD16" s="42" t="str">
        <f>IF(COUNTIF(Z:Z,17)&gt;9,"17号車　9件超えてます！！","")</f>
        <v/>
      </c>
      <c r="AK16" t="s">
        <v>642</v>
      </c>
      <c r="AL16" t="s">
        <v>642</v>
      </c>
      <c r="AM16" t="s">
        <v>642</v>
      </c>
      <c r="AN16" t="s">
        <v>642</v>
      </c>
      <c r="AO16" t="s">
        <v>642</v>
      </c>
      <c r="AP16" t="s">
        <v>642</v>
      </c>
      <c r="AQ16" t="s">
        <v>642</v>
      </c>
      <c r="AR16" t="s">
        <v>642</v>
      </c>
      <c r="AS16" t="s">
        <v>642</v>
      </c>
      <c r="AT16" t="s">
        <v>642</v>
      </c>
    </row>
    <row r="17" spans="1:46" ht="12.75" customHeight="1">
      <c r="A17" s="39">
        <v>202404276585</v>
      </c>
      <c r="B17" s="39" t="s">
        <v>716</v>
      </c>
      <c r="C17" s="39">
        <v>413953</v>
      </c>
      <c r="D17" s="39" t="s">
        <v>10</v>
      </c>
      <c r="E17" s="39" t="s">
        <v>739</v>
      </c>
      <c r="F17" s="39" t="s">
        <v>621</v>
      </c>
      <c r="G17" s="39" t="s">
        <v>623</v>
      </c>
      <c r="H17" s="39"/>
      <c r="I17" s="39" t="s">
        <v>622</v>
      </c>
      <c r="J17" s="39">
        <v>30</v>
      </c>
      <c r="K17" s="39"/>
      <c r="L17" s="39" t="s">
        <v>734</v>
      </c>
      <c r="M17" s="39" t="s">
        <v>625</v>
      </c>
      <c r="N17" s="39"/>
      <c r="O17" s="39">
        <v>328</v>
      </c>
      <c r="P17" s="40">
        <v>45453</v>
      </c>
      <c r="Q17" s="39" t="s">
        <v>627</v>
      </c>
      <c r="R17" s="39" t="s">
        <v>719</v>
      </c>
      <c r="S17" s="39" t="s">
        <v>735</v>
      </c>
      <c r="T17" s="39" t="s">
        <v>736</v>
      </c>
      <c r="U17" s="39"/>
      <c r="V17" s="39"/>
      <c r="W17" s="39" t="s">
        <v>1146</v>
      </c>
      <c r="X17" s="39" t="s">
        <v>740</v>
      </c>
      <c r="Y17" s="39" t="s">
        <v>664</v>
      </c>
      <c r="Z17" s="41" t="s">
        <v>657</v>
      </c>
      <c r="AA17" s="1" t="s">
        <v>741</v>
      </c>
      <c r="AB17" s="1">
        <v>1</v>
      </c>
      <c r="AC17" s="31"/>
      <c r="AD17" s="42" t="str">
        <f>IF(COUNTIF(Z:Z,18)&gt;9,"18号車　9件超えてます！！","")</f>
        <v/>
      </c>
      <c r="AK17" t="s">
        <v>642</v>
      </c>
      <c r="AL17" t="s">
        <v>642</v>
      </c>
      <c r="AM17" t="s">
        <v>642</v>
      </c>
      <c r="AN17" t="s">
        <v>642</v>
      </c>
      <c r="AO17" t="s">
        <v>642</v>
      </c>
      <c r="AP17" t="s">
        <v>642</v>
      </c>
      <c r="AQ17" t="s">
        <v>642</v>
      </c>
      <c r="AR17" t="s">
        <v>642</v>
      </c>
      <c r="AS17" t="s">
        <v>642</v>
      </c>
      <c r="AT17" t="s">
        <v>642</v>
      </c>
    </row>
    <row r="18" spans="1:46" ht="12.75" customHeight="1">
      <c r="A18" s="39" t="s">
        <v>742</v>
      </c>
      <c r="B18" s="39" t="s">
        <v>716</v>
      </c>
      <c r="C18" s="39">
        <v>418491</v>
      </c>
      <c r="D18" s="39" t="s">
        <v>667</v>
      </c>
      <c r="E18" s="39" t="s">
        <v>743</v>
      </c>
      <c r="F18" s="39" t="s">
        <v>621</v>
      </c>
      <c r="G18" s="39" t="s">
        <v>623</v>
      </c>
      <c r="H18" s="39"/>
      <c r="I18" s="39" t="s">
        <v>622</v>
      </c>
      <c r="J18" s="39">
        <v>30</v>
      </c>
      <c r="K18" s="39" t="s">
        <v>669</v>
      </c>
      <c r="L18" s="39" t="s">
        <v>744</v>
      </c>
      <c r="M18" s="39" t="s">
        <v>625</v>
      </c>
      <c r="N18" s="39"/>
      <c r="O18" s="39">
        <v>344</v>
      </c>
      <c r="P18" s="40">
        <v>45453</v>
      </c>
      <c r="Q18" s="39" t="s">
        <v>627</v>
      </c>
      <c r="R18" s="39" t="s">
        <v>719</v>
      </c>
      <c r="S18" s="39" t="s">
        <v>745</v>
      </c>
      <c r="T18" s="39" t="s">
        <v>746</v>
      </c>
      <c r="U18" s="39"/>
      <c r="V18" s="39"/>
      <c r="W18" s="39" t="s">
        <v>747</v>
      </c>
      <c r="X18" s="39" t="s">
        <v>748</v>
      </c>
      <c r="Y18" s="39" t="s">
        <v>664</v>
      </c>
      <c r="Z18" s="41" t="s">
        <v>704</v>
      </c>
      <c r="AA18" s="1" t="s">
        <v>749</v>
      </c>
      <c r="AB18" s="1">
        <v>1</v>
      </c>
      <c r="AC18" s="31"/>
      <c r="AD18"/>
      <c r="AK18" t="s">
        <v>642</v>
      </c>
      <c r="AL18" t="s">
        <v>642</v>
      </c>
      <c r="AM18" t="s">
        <v>642</v>
      </c>
      <c r="AN18" t="s">
        <v>642</v>
      </c>
      <c r="AO18" t="s">
        <v>642</v>
      </c>
      <c r="AP18" t="s">
        <v>642</v>
      </c>
      <c r="AQ18" t="s">
        <v>642</v>
      </c>
      <c r="AR18" t="s">
        <v>642</v>
      </c>
      <c r="AS18" t="s">
        <v>642</v>
      </c>
      <c r="AT18" t="s">
        <v>642</v>
      </c>
    </row>
    <row r="19" spans="1:46" ht="12.75" customHeight="1">
      <c r="A19" s="39" t="s">
        <v>750</v>
      </c>
      <c r="B19" s="39" t="s">
        <v>716</v>
      </c>
      <c r="C19" s="39">
        <v>412993</v>
      </c>
      <c r="D19" s="39" t="s">
        <v>690</v>
      </c>
      <c r="E19" s="39" t="s">
        <v>1147</v>
      </c>
      <c r="F19" s="39" t="s">
        <v>621</v>
      </c>
      <c r="G19" s="39" t="s">
        <v>622</v>
      </c>
      <c r="H19" s="39">
        <v>70</v>
      </c>
      <c r="I19" s="39" t="s">
        <v>623</v>
      </c>
      <c r="J19" s="39"/>
      <c r="K19" s="39"/>
      <c r="L19" s="39" t="s">
        <v>751</v>
      </c>
      <c r="M19" s="39" t="s">
        <v>625</v>
      </c>
      <c r="N19" s="39"/>
      <c r="O19" s="39">
        <v>459</v>
      </c>
      <c r="P19" s="40">
        <v>45453</v>
      </c>
      <c r="Q19" s="39" t="s">
        <v>627</v>
      </c>
      <c r="R19" s="39" t="s">
        <v>719</v>
      </c>
      <c r="S19" s="39" t="s">
        <v>1148</v>
      </c>
      <c r="T19" s="39" t="s">
        <v>752</v>
      </c>
      <c r="U19" s="39"/>
      <c r="V19" s="39"/>
      <c r="W19" s="39"/>
      <c r="X19" s="39" t="s">
        <v>753</v>
      </c>
      <c r="Y19" s="39" t="s">
        <v>754</v>
      </c>
      <c r="Z19" s="41" t="s">
        <v>704</v>
      </c>
      <c r="AA19" s="1" t="s">
        <v>755</v>
      </c>
      <c r="AB19" s="1">
        <v>1</v>
      </c>
      <c r="AC19" s="31"/>
      <c r="AD19"/>
      <c r="AK19" t="s">
        <v>642</v>
      </c>
      <c r="AL19" t="s">
        <v>642</v>
      </c>
      <c r="AM19" t="s">
        <v>642</v>
      </c>
      <c r="AN19" t="s">
        <v>642</v>
      </c>
      <c r="AO19" t="s">
        <v>642</v>
      </c>
      <c r="AP19" t="s">
        <v>642</v>
      </c>
      <c r="AQ19" t="s">
        <v>642</v>
      </c>
      <c r="AR19" t="s">
        <v>642</v>
      </c>
      <c r="AS19" t="s">
        <v>642</v>
      </c>
      <c r="AT19" t="s">
        <v>642</v>
      </c>
    </row>
    <row r="20" spans="1:46" ht="12.75" customHeight="1">
      <c r="A20" s="39" t="s">
        <v>756</v>
      </c>
      <c r="B20" s="39" t="s">
        <v>757</v>
      </c>
      <c r="C20" s="39">
        <v>415479</v>
      </c>
      <c r="D20" s="39" t="s">
        <v>418</v>
      </c>
      <c r="E20" s="39" t="s">
        <v>758</v>
      </c>
      <c r="F20" s="39" t="s">
        <v>621</v>
      </c>
      <c r="G20" s="39" t="s">
        <v>622</v>
      </c>
      <c r="H20" s="39">
        <v>65</v>
      </c>
      <c r="I20" s="39" t="s">
        <v>623</v>
      </c>
      <c r="J20" s="39"/>
      <c r="K20" s="39"/>
      <c r="L20" s="39" t="s">
        <v>759</v>
      </c>
      <c r="M20" s="39" t="s">
        <v>760</v>
      </c>
      <c r="N20" s="39"/>
      <c r="O20" s="39">
        <v>351</v>
      </c>
      <c r="P20" s="40">
        <v>45453</v>
      </c>
      <c r="Q20" s="39" t="s">
        <v>627</v>
      </c>
      <c r="R20" s="39" t="s">
        <v>761</v>
      </c>
      <c r="S20" s="39" t="s">
        <v>1149</v>
      </c>
      <c r="T20" s="39" t="s">
        <v>762</v>
      </c>
      <c r="U20" s="39"/>
      <c r="V20" s="39"/>
      <c r="W20" s="39"/>
      <c r="X20" s="39" t="s">
        <v>763</v>
      </c>
      <c r="Y20" s="39" t="s">
        <v>656</v>
      </c>
      <c r="Z20" s="41" t="s">
        <v>764</v>
      </c>
      <c r="AA20" s="1" t="s">
        <v>765</v>
      </c>
      <c r="AB20" s="1">
        <v>1</v>
      </c>
      <c r="AC20" s="31"/>
      <c r="AD20"/>
      <c r="AK20" t="s">
        <v>642</v>
      </c>
      <c r="AL20" t="s">
        <v>642</v>
      </c>
      <c r="AM20" t="s">
        <v>642</v>
      </c>
      <c r="AN20" t="s">
        <v>642</v>
      </c>
      <c r="AO20" t="s">
        <v>642</v>
      </c>
      <c r="AP20" t="s">
        <v>642</v>
      </c>
      <c r="AQ20" t="s">
        <v>642</v>
      </c>
      <c r="AR20" t="s">
        <v>642</v>
      </c>
      <c r="AS20" t="s">
        <v>642</v>
      </c>
      <c r="AT20" t="s">
        <v>642</v>
      </c>
    </row>
    <row r="21" spans="1:46" ht="12.75" customHeight="1">
      <c r="A21" s="39" t="s">
        <v>766</v>
      </c>
      <c r="B21" s="39" t="s">
        <v>757</v>
      </c>
      <c r="C21" s="39">
        <v>403977</v>
      </c>
      <c r="D21" s="39" t="s">
        <v>1150</v>
      </c>
      <c r="E21" s="39" t="s">
        <v>1151</v>
      </c>
      <c r="F21" s="39" t="s">
        <v>621</v>
      </c>
      <c r="G21" s="39" t="s">
        <v>622</v>
      </c>
      <c r="H21" s="39">
        <v>70</v>
      </c>
      <c r="I21" s="39" t="s">
        <v>623</v>
      </c>
      <c r="J21" s="39"/>
      <c r="K21" s="39" t="s">
        <v>767</v>
      </c>
      <c r="L21" s="39" t="s">
        <v>768</v>
      </c>
      <c r="M21" s="39" t="s">
        <v>625</v>
      </c>
      <c r="N21" s="39"/>
      <c r="O21" s="39">
        <v>272</v>
      </c>
      <c r="P21" s="40">
        <v>45453</v>
      </c>
      <c r="Q21" s="39" t="s">
        <v>627</v>
      </c>
      <c r="R21" s="39" t="s">
        <v>761</v>
      </c>
      <c r="S21" s="39" t="s">
        <v>1152</v>
      </c>
      <c r="T21" s="39" t="s">
        <v>769</v>
      </c>
      <c r="U21" s="39"/>
      <c r="V21" s="39"/>
      <c r="W21" s="39"/>
      <c r="X21" s="39" t="s">
        <v>770</v>
      </c>
      <c r="Y21" s="39" t="s">
        <v>771</v>
      </c>
      <c r="Z21" s="41" t="s">
        <v>772</v>
      </c>
      <c r="AA21" s="1" t="s">
        <v>773</v>
      </c>
      <c r="AB21" s="1">
        <v>1</v>
      </c>
      <c r="AC21" s="31"/>
      <c r="AD21"/>
      <c r="AK21" t="s">
        <v>642</v>
      </c>
      <c r="AL21" t="s">
        <v>642</v>
      </c>
      <c r="AM21" t="s">
        <v>642</v>
      </c>
      <c r="AN21" t="s">
        <v>642</v>
      </c>
      <c r="AO21" t="s">
        <v>642</v>
      </c>
      <c r="AP21" t="s">
        <v>642</v>
      </c>
      <c r="AQ21" t="s">
        <v>642</v>
      </c>
      <c r="AR21" t="s">
        <v>642</v>
      </c>
      <c r="AS21" t="s">
        <v>642</v>
      </c>
      <c r="AT21" t="s">
        <v>642</v>
      </c>
    </row>
    <row r="22" spans="1:46" ht="12.75" customHeight="1">
      <c r="A22" s="39" t="s">
        <v>774</v>
      </c>
      <c r="B22" s="39" t="s">
        <v>757</v>
      </c>
      <c r="C22" s="39">
        <v>407726</v>
      </c>
      <c r="D22" s="39" t="s">
        <v>414</v>
      </c>
      <c r="E22" s="39" t="s">
        <v>775</v>
      </c>
      <c r="F22" s="39" t="s">
        <v>621</v>
      </c>
      <c r="G22" s="39" t="s">
        <v>623</v>
      </c>
      <c r="H22" s="39"/>
      <c r="I22" s="39" t="s">
        <v>623</v>
      </c>
      <c r="J22" s="39"/>
      <c r="K22" s="39" t="s">
        <v>776</v>
      </c>
      <c r="L22" s="39" t="s">
        <v>777</v>
      </c>
      <c r="M22" s="39" t="s">
        <v>625</v>
      </c>
      <c r="N22" s="39" t="s">
        <v>778</v>
      </c>
      <c r="O22" s="39">
        <v>215</v>
      </c>
      <c r="P22" s="40">
        <v>45453</v>
      </c>
      <c r="Q22" s="39" t="s">
        <v>627</v>
      </c>
      <c r="R22" s="39" t="s">
        <v>761</v>
      </c>
      <c r="S22" s="39" t="s">
        <v>1153</v>
      </c>
      <c r="T22" s="39" t="s">
        <v>779</v>
      </c>
      <c r="U22" s="39"/>
      <c r="V22" s="39"/>
      <c r="W22" s="39" t="s">
        <v>780</v>
      </c>
      <c r="X22" s="39" t="s">
        <v>781</v>
      </c>
      <c r="Y22" s="39" t="s">
        <v>656</v>
      </c>
      <c r="Z22" s="41" t="s">
        <v>772</v>
      </c>
      <c r="AA22" s="1" t="s">
        <v>782</v>
      </c>
      <c r="AB22" s="1">
        <v>1</v>
      </c>
      <c r="AC22" s="31"/>
      <c r="AD22"/>
    </row>
    <row r="23" spans="1:46" ht="12.75" customHeight="1">
      <c r="A23" s="39">
        <v>202405220785</v>
      </c>
      <c r="B23" s="39" t="s">
        <v>757</v>
      </c>
      <c r="C23" s="39">
        <v>418211</v>
      </c>
      <c r="D23" s="39" t="s">
        <v>10</v>
      </c>
      <c r="E23" s="39" t="s">
        <v>783</v>
      </c>
      <c r="F23" s="39" t="s">
        <v>621</v>
      </c>
      <c r="G23" s="39" t="s">
        <v>623</v>
      </c>
      <c r="H23" s="39"/>
      <c r="I23" s="39" t="s">
        <v>622</v>
      </c>
      <c r="J23" s="39">
        <v>30</v>
      </c>
      <c r="K23" s="39" t="s">
        <v>784</v>
      </c>
      <c r="L23" s="39" t="s">
        <v>785</v>
      </c>
      <c r="M23" s="39" t="s">
        <v>625</v>
      </c>
      <c r="N23" s="39"/>
      <c r="O23" s="39">
        <v>335</v>
      </c>
      <c r="P23" s="40">
        <v>45453</v>
      </c>
      <c r="Q23" s="39" t="s">
        <v>627</v>
      </c>
      <c r="R23" s="39" t="s">
        <v>761</v>
      </c>
      <c r="S23" s="39" t="s">
        <v>786</v>
      </c>
      <c r="T23" s="39" t="s">
        <v>787</v>
      </c>
      <c r="U23" s="39"/>
      <c r="V23" s="39"/>
      <c r="W23" s="39" t="s">
        <v>784</v>
      </c>
      <c r="X23" s="39" t="s">
        <v>788</v>
      </c>
      <c r="Y23" s="39" t="s">
        <v>664</v>
      </c>
      <c r="Z23" s="41" t="s">
        <v>789</v>
      </c>
      <c r="AA23" s="1" t="s">
        <v>790</v>
      </c>
      <c r="AB23" s="1">
        <v>1</v>
      </c>
      <c r="AC23" s="31"/>
      <c r="AD23" s="43" t="s">
        <v>791</v>
      </c>
      <c r="AM23" t="s">
        <v>792</v>
      </c>
    </row>
    <row r="24" spans="1:46" ht="12.75" customHeight="1">
      <c r="A24" s="39" t="s">
        <v>793</v>
      </c>
      <c r="B24" s="39" t="s">
        <v>757</v>
      </c>
      <c r="C24" s="39">
        <v>420221</v>
      </c>
      <c r="D24" s="39" t="s">
        <v>10</v>
      </c>
      <c r="E24" s="39" t="s">
        <v>794</v>
      </c>
      <c r="F24" s="39" t="s">
        <v>621</v>
      </c>
      <c r="G24" s="39" t="s">
        <v>623</v>
      </c>
      <c r="H24" s="39"/>
      <c r="I24" s="39" t="s">
        <v>622</v>
      </c>
      <c r="J24" s="39">
        <v>30</v>
      </c>
      <c r="K24" s="39"/>
      <c r="L24" s="39" t="s">
        <v>795</v>
      </c>
      <c r="M24" s="39" t="s">
        <v>625</v>
      </c>
      <c r="N24" s="39"/>
      <c r="O24" s="39">
        <v>315</v>
      </c>
      <c r="P24" s="40">
        <v>45453</v>
      </c>
      <c r="Q24" s="39" t="s">
        <v>627</v>
      </c>
      <c r="R24" s="39" t="s">
        <v>761</v>
      </c>
      <c r="S24" s="39" t="s">
        <v>796</v>
      </c>
      <c r="T24" s="39" t="s">
        <v>797</v>
      </c>
      <c r="U24" s="39"/>
      <c r="V24" s="39"/>
      <c r="W24" s="39"/>
      <c r="X24" s="39" t="s">
        <v>798</v>
      </c>
      <c r="Y24" s="39" t="s">
        <v>799</v>
      </c>
      <c r="Z24" s="41" t="s">
        <v>789</v>
      </c>
      <c r="AA24" s="1" t="s">
        <v>800</v>
      </c>
      <c r="AB24" s="1">
        <v>1</v>
      </c>
      <c r="AC24" s="31"/>
      <c r="AD24"/>
      <c r="AM24" t="s">
        <v>801</v>
      </c>
    </row>
    <row r="25" spans="1:46" ht="12.75" customHeight="1">
      <c r="A25" s="39" t="s">
        <v>802</v>
      </c>
      <c r="B25" s="39" t="s">
        <v>757</v>
      </c>
      <c r="C25" s="39">
        <v>396589</v>
      </c>
      <c r="D25" s="39" t="s">
        <v>427</v>
      </c>
      <c r="E25" s="39" t="s">
        <v>1154</v>
      </c>
      <c r="F25" s="39" t="s">
        <v>621</v>
      </c>
      <c r="G25" s="39" t="s">
        <v>623</v>
      </c>
      <c r="H25" s="39"/>
      <c r="I25" s="39" t="s">
        <v>623</v>
      </c>
      <c r="J25" s="39"/>
      <c r="K25" s="39"/>
      <c r="L25" s="39" t="s">
        <v>803</v>
      </c>
      <c r="M25" s="39" t="s">
        <v>625</v>
      </c>
      <c r="N25" s="39"/>
      <c r="O25" s="39">
        <v>329</v>
      </c>
      <c r="P25" s="40">
        <v>45453</v>
      </c>
      <c r="Q25" s="39" t="s">
        <v>627</v>
      </c>
      <c r="R25" s="39" t="s">
        <v>761</v>
      </c>
      <c r="S25" s="39" t="s">
        <v>804</v>
      </c>
      <c r="T25" s="39" t="s">
        <v>805</v>
      </c>
      <c r="U25" s="39"/>
      <c r="V25" s="39"/>
      <c r="W25" s="39"/>
      <c r="X25" s="39" t="s">
        <v>806</v>
      </c>
      <c r="Y25" s="39" t="s">
        <v>807</v>
      </c>
      <c r="Z25" s="41" t="s">
        <v>772</v>
      </c>
      <c r="AA25" s="1" t="s">
        <v>808</v>
      </c>
      <c r="AB25" s="1">
        <v>1</v>
      </c>
      <c r="AC25" s="31"/>
      <c r="AD25"/>
      <c r="AK25" t="s">
        <v>642</v>
      </c>
      <c r="AL25" t="s">
        <v>642</v>
      </c>
      <c r="AM25" t="s">
        <v>642</v>
      </c>
      <c r="AN25" t="s">
        <v>642</v>
      </c>
      <c r="AO25" t="s">
        <v>642</v>
      </c>
      <c r="AP25" t="s">
        <v>642</v>
      </c>
      <c r="AQ25" t="s">
        <v>642</v>
      </c>
      <c r="AR25" t="s">
        <v>642</v>
      </c>
      <c r="AS25" t="s">
        <v>642</v>
      </c>
      <c r="AT25" t="s">
        <v>642</v>
      </c>
    </row>
    <row r="26" spans="1:46" ht="12.75" customHeight="1">
      <c r="A26" s="39" t="s">
        <v>809</v>
      </c>
      <c r="B26" s="39" t="s">
        <v>757</v>
      </c>
      <c r="C26" s="39">
        <v>415763</v>
      </c>
      <c r="D26" s="39" t="s">
        <v>810</v>
      </c>
      <c r="E26" s="39" t="s">
        <v>1155</v>
      </c>
      <c r="F26" s="39" t="s">
        <v>621</v>
      </c>
      <c r="G26" s="39" t="s">
        <v>622</v>
      </c>
      <c r="H26" s="39">
        <v>80</v>
      </c>
      <c r="I26" s="39" t="s">
        <v>623</v>
      </c>
      <c r="J26" s="39"/>
      <c r="K26" s="39" t="s">
        <v>678</v>
      </c>
      <c r="L26" s="39" t="s">
        <v>811</v>
      </c>
      <c r="M26" s="39" t="s">
        <v>625</v>
      </c>
      <c r="N26" s="39"/>
      <c r="O26" s="39">
        <v>329</v>
      </c>
      <c r="P26" s="40">
        <v>45453</v>
      </c>
      <c r="Q26" s="39" t="s">
        <v>627</v>
      </c>
      <c r="R26" s="39" t="s">
        <v>761</v>
      </c>
      <c r="S26" s="39" t="s">
        <v>812</v>
      </c>
      <c r="T26" s="39" t="s">
        <v>813</v>
      </c>
      <c r="U26" s="39"/>
      <c r="V26" s="39"/>
      <c r="W26" s="39"/>
      <c r="X26" s="39" t="s">
        <v>814</v>
      </c>
      <c r="Y26" s="39" t="s">
        <v>815</v>
      </c>
      <c r="Z26" s="41" t="s">
        <v>772</v>
      </c>
      <c r="AA26" s="1" t="s">
        <v>816</v>
      </c>
      <c r="AB26" s="1">
        <v>1</v>
      </c>
      <c r="AC26" s="31"/>
      <c r="AD26"/>
      <c r="AK26" t="s">
        <v>642</v>
      </c>
      <c r="AL26" t="s">
        <v>642</v>
      </c>
      <c r="AM26" t="s">
        <v>642</v>
      </c>
      <c r="AN26" t="s">
        <v>642</v>
      </c>
      <c r="AO26" t="s">
        <v>642</v>
      </c>
      <c r="AP26" t="s">
        <v>642</v>
      </c>
      <c r="AQ26" t="s">
        <v>642</v>
      </c>
      <c r="AR26" t="s">
        <v>642</v>
      </c>
      <c r="AS26" t="s">
        <v>642</v>
      </c>
      <c r="AT26" t="s">
        <v>642</v>
      </c>
    </row>
    <row r="27" spans="1:46" ht="12.75" customHeight="1">
      <c r="A27" s="39" t="s">
        <v>817</v>
      </c>
      <c r="B27" s="39" t="s">
        <v>757</v>
      </c>
      <c r="C27" s="39">
        <v>404207</v>
      </c>
      <c r="D27" s="39" t="s">
        <v>818</v>
      </c>
      <c r="E27" s="39" t="s">
        <v>1156</v>
      </c>
      <c r="F27" s="39" t="s">
        <v>621</v>
      </c>
      <c r="G27" s="39" t="s">
        <v>623</v>
      </c>
      <c r="H27" s="39"/>
      <c r="I27" s="39" t="s">
        <v>623</v>
      </c>
      <c r="J27" s="39"/>
      <c r="K27" s="39" t="s">
        <v>819</v>
      </c>
      <c r="L27" s="39" t="s">
        <v>820</v>
      </c>
      <c r="M27" s="39" t="s">
        <v>625</v>
      </c>
      <c r="N27" s="39" t="s">
        <v>626</v>
      </c>
      <c r="O27" s="39">
        <v>281</v>
      </c>
      <c r="P27" s="40">
        <v>45453</v>
      </c>
      <c r="Q27" s="39" t="s">
        <v>627</v>
      </c>
      <c r="R27" s="39" t="s">
        <v>761</v>
      </c>
      <c r="S27" s="39" t="s">
        <v>821</v>
      </c>
      <c r="T27" s="39" t="s">
        <v>822</v>
      </c>
      <c r="U27" s="39"/>
      <c r="V27" s="39"/>
      <c r="W27" s="39"/>
      <c r="X27" s="39" t="s">
        <v>823</v>
      </c>
      <c r="Y27" s="39" t="s">
        <v>824</v>
      </c>
      <c r="Z27" s="41" t="s">
        <v>789</v>
      </c>
      <c r="AA27" s="1" t="s">
        <v>825</v>
      </c>
      <c r="AB27" s="1">
        <v>1</v>
      </c>
      <c r="AC27" s="31"/>
      <c r="AD27"/>
      <c r="AK27" t="s">
        <v>642</v>
      </c>
      <c r="AL27" t="s">
        <v>642</v>
      </c>
      <c r="AM27" t="s">
        <v>642</v>
      </c>
      <c r="AN27" t="s">
        <v>642</v>
      </c>
      <c r="AO27" t="s">
        <v>642</v>
      </c>
      <c r="AP27" t="s">
        <v>642</v>
      </c>
      <c r="AQ27" t="s">
        <v>642</v>
      </c>
      <c r="AR27" t="s">
        <v>642</v>
      </c>
      <c r="AS27" t="s">
        <v>642</v>
      </c>
      <c r="AT27" t="s">
        <v>642</v>
      </c>
    </row>
    <row r="28" spans="1:46" ht="12.75" customHeight="1">
      <c r="A28" s="39" t="s">
        <v>826</v>
      </c>
      <c r="B28" s="39" t="s">
        <v>757</v>
      </c>
      <c r="C28" s="39">
        <v>411263</v>
      </c>
      <c r="D28" s="39" t="s">
        <v>421</v>
      </c>
      <c r="E28" s="39" t="s">
        <v>1157</v>
      </c>
      <c r="F28" s="39" t="s">
        <v>621</v>
      </c>
      <c r="G28" s="39" t="s">
        <v>623</v>
      </c>
      <c r="H28" s="39"/>
      <c r="I28" s="39" t="s">
        <v>623</v>
      </c>
      <c r="J28" s="39"/>
      <c r="K28" s="39"/>
      <c r="L28" s="39" t="s">
        <v>827</v>
      </c>
      <c r="M28" s="39" t="s">
        <v>645</v>
      </c>
      <c r="N28" s="39"/>
      <c r="O28" s="39">
        <v>239</v>
      </c>
      <c r="P28" s="40">
        <v>45453</v>
      </c>
      <c r="Q28" s="39" t="s">
        <v>627</v>
      </c>
      <c r="R28" s="39" t="s">
        <v>761</v>
      </c>
      <c r="S28" s="39" t="s">
        <v>501</v>
      </c>
      <c r="T28" s="39" t="s">
        <v>828</v>
      </c>
      <c r="U28" s="39"/>
      <c r="V28" s="39"/>
      <c r="W28" s="39" t="s">
        <v>829</v>
      </c>
      <c r="X28" s="39" t="s">
        <v>830</v>
      </c>
      <c r="Y28" s="39" t="s">
        <v>815</v>
      </c>
      <c r="Z28" s="41" t="s">
        <v>831</v>
      </c>
      <c r="AA28" s="1" t="s">
        <v>832</v>
      </c>
      <c r="AB28" s="1">
        <v>1</v>
      </c>
      <c r="AC28" s="31"/>
      <c r="AD28"/>
      <c r="AK28" t="s">
        <v>642</v>
      </c>
      <c r="AL28" t="s">
        <v>642</v>
      </c>
      <c r="AM28" t="s">
        <v>642</v>
      </c>
      <c r="AN28" t="s">
        <v>642</v>
      </c>
      <c r="AO28" t="s">
        <v>642</v>
      </c>
      <c r="AP28" t="s">
        <v>642</v>
      </c>
      <c r="AQ28" t="s">
        <v>642</v>
      </c>
      <c r="AR28" t="s">
        <v>642</v>
      </c>
      <c r="AS28" t="s">
        <v>642</v>
      </c>
      <c r="AT28" t="s">
        <v>642</v>
      </c>
    </row>
    <row r="29" spans="1:46" ht="12.75" customHeight="1">
      <c r="A29" s="39" t="s">
        <v>833</v>
      </c>
      <c r="B29" s="39" t="s">
        <v>757</v>
      </c>
      <c r="C29" s="39">
        <v>410916</v>
      </c>
      <c r="D29" s="39" t="s">
        <v>40</v>
      </c>
      <c r="E29" s="39" t="s">
        <v>1158</v>
      </c>
      <c r="F29" s="39" t="s">
        <v>621</v>
      </c>
      <c r="G29" s="39" t="s">
        <v>623</v>
      </c>
      <c r="H29" s="39"/>
      <c r="I29" s="39" t="s">
        <v>623</v>
      </c>
      <c r="J29" s="39"/>
      <c r="K29" s="39" t="s">
        <v>834</v>
      </c>
      <c r="L29" s="39" t="s">
        <v>835</v>
      </c>
      <c r="M29" s="39" t="s">
        <v>625</v>
      </c>
      <c r="N29" s="39"/>
      <c r="O29" s="39">
        <v>321</v>
      </c>
      <c r="P29" s="40">
        <v>45453</v>
      </c>
      <c r="Q29" s="39" t="s">
        <v>627</v>
      </c>
      <c r="R29" s="39" t="s">
        <v>761</v>
      </c>
      <c r="S29" s="39" t="s">
        <v>1159</v>
      </c>
      <c r="T29" s="39" t="s">
        <v>836</v>
      </c>
      <c r="U29" s="39"/>
      <c r="V29" s="39"/>
      <c r="W29" s="39" t="s">
        <v>1160</v>
      </c>
      <c r="X29" s="39" t="s">
        <v>837</v>
      </c>
      <c r="Y29" s="39" t="s">
        <v>656</v>
      </c>
      <c r="Z29" s="41" t="s">
        <v>831</v>
      </c>
      <c r="AA29" s="1" t="s">
        <v>838</v>
      </c>
      <c r="AB29" s="1">
        <v>1</v>
      </c>
      <c r="AC29" s="31"/>
      <c r="AD29"/>
      <c r="AK29" t="s">
        <v>642</v>
      </c>
      <c r="AL29" t="s">
        <v>642</v>
      </c>
      <c r="AM29" t="s">
        <v>642</v>
      </c>
      <c r="AN29" t="s">
        <v>642</v>
      </c>
      <c r="AO29" t="s">
        <v>642</v>
      </c>
      <c r="AP29" t="s">
        <v>642</v>
      </c>
      <c r="AQ29" t="s">
        <v>642</v>
      </c>
      <c r="AR29" t="s">
        <v>642</v>
      </c>
      <c r="AS29" t="s">
        <v>642</v>
      </c>
      <c r="AT29" t="s">
        <v>642</v>
      </c>
    </row>
    <row r="30" spans="1:46" ht="12.75" customHeight="1">
      <c r="A30" s="39">
        <v>202404052670</v>
      </c>
      <c r="B30" s="39" t="s">
        <v>757</v>
      </c>
      <c r="C30" s="39">
        <v>410357</v>
      </c>
      <c r="D30" s="39" t="s">
        <v>10</v>
      </c>
      <c r="E30" s="39" t="s">
        <v>839</v>
      </c>
      <c r="F30" s="39" t="s">
        <v>621</v>
      </c>
      <c r="G30" s="39" t="s">
        <v>623</v>
      </c>
      <c r="H30" s="39">
        <v>0</v>
      </c>
      <c r="I30" s="39" t="s">
        <v>622</v>
      </c>
      <c r="J30" s="39">
        <v>30</v>
      </c>
      <c r="K30" s="39" t="s">
        <v>840</v>
      </c>
      <c r="L30" s="39" t="s">
        <v>841</v>
      </c>
      <c r="M30" s="39" t="s">
        <v>625</v>
      </c>
      <c r="N30" s="39"/>
      <c r="O30" s="39">
        <v>339</v>
      </c>
      <c r="P30" s="40">
        <v>45453</v>
      </c>
      <c r="Q30" s="39" t="s">
        <v>627</v>
      </c>
      <c r="R30" s="39" t="s">
        <v>761</v>
      </c>
      <c r="S30" s="39" t="s">
        <v>842</v>
      </c>
      <c r="T30" s="39" t="s">
        <v>843</v>
      </c>
      <c r="U30" s="39" t="s">
        <v>844</v>
      </c>
      <c r="V30" s="39" t="s">
        <v>845</v>
      </c>
      <c r="W30" s="39" t="s">
        <v>840</v>
      </c>
      <c r="X30" s="39" t="s">
        <v>846</v>
      </c>
      <c r="Y30" s="39" t="s">
        <v>664</v>
      </c>
      <c r="Z30" s="41" t="s">
        <v>831</v>
      </c>
      <c r="AA30" s="1" t="s">
        <v>847</v>
      </c>
      <c r="AB30" s="1">
        <v>1</v>
      </c>
      <c r="AC30" s="31"/>
      <c r="AD30"/>
      <c r="AK30" t="s">
        <v>642</v>
      </c>
      <c r="AL30" t="s">
        <v>642</v>
      </c>
      <c r="AM30" t="s">
        <v>642</v>
      </c>
      <c r="AN30" t="s">
        <v>642</v>
      </c>
      <c r="AO30" t="s">
        <v>642</v>
      </c>
      <c r="AP30" t="s">
        <v>642</v>
      </c>
      <c r="AQ30" t="s">
        <v>642</v>
      </c>
      <c r="AR30" t="s">
        <v>642</v>
      </c>
      <c r="AS30" t="s">
        <v>642</v>
      </c>
      <c r="AT30" t="s">
        <v>642</v>
      </c>
    </row>
    <row r="31" spans="1:46" ht="12.75" customHeight="1">
      <c r="A31" s="39" t="s">
        <v>848</v>
      </c>
      <c r="B31" s="39" t="s">
        <v>757</v>
      </c>
      <c r="C31" s="39">
        <v>408853</v>
      </c>
      <c r="D31" s="39" t="s">
        <v>849</v>
      </c>
      <c r="E31" s="39" t="s">
        <v>850</v>
      </c>
      <c r="F31" s="39" t="s">
        <v>621</v>
      </c>
      <c r="G31" s="39" t="s">
        <v>623</v>
      </c>
      <c r="H31" s="39"/>
      <c r="I31" s="39" t="s">
        <v>623</v>
      </c>
      <c r="J31" s="39"/>
      <c r="K31" s="39" t="s">
        <v>851</v>
      </c>
      <c r="L31" s="39" t="s">
        <v>852</v>
      </c>
      <c r="M31" s="39" t="s">
        <v>625</v>
      </c>
      <c r="N31" s="39"/>
      <c r="O31" s="39">
        <v>346</v>
      </c>
      <c r="P31" s="40">
        <v>45453</v>
      </c>
      <c r="Q31" s="39" t="s">
        <v>627</v>
      </c>
      <c r="R31" s="39" t="s">
        <v>761</v>
      </c>
      <c r="S31" s="39" t="s">
        <v>853</v>
      </c>
      <c r="T31" s="39" t="s">
        <v>854</v>
      </c>
      <c r="U31" s="39"/>
      <c r="V31" s="39"/>
      <c r="W31" s="39" t="s">
        <v>851</v>
      </c>
      <c r="X31" s="39" t="s">
        <v>855</v>
      </c>
      <c r="Y31" s="39" t="s">
        <v>856</v>
      </c>
      <c r="Z31" s="41" t="s">
        <v>831</v>
      </c>
      <c r="AA31" s="1" t="s">
        <v>857</v>
      </c>
      <c r="AB31" s="1">
        <v>1</v>
      </c>
      <c r="AC31" s="31"/>
      <c r="AD31"/>
      <c r="AK31" t="s">
        <v>642</v>
      </c>
      <c r="AL31" t="s">
        <v>642</v>
      </c>
      <c r="AM31" t="s">
        <v>642</v>
      </c>
      <c r="AN31" t="s">
        <v>642</v>
      </c>
      <c r="AO31" t="s">
        <v>642</v>
      </c>
      <c r="AP31" t="s">
        <v>642</v>
      </c>
      <c r="AQ31" t="s">
        <v>642</v>
      </c>
      <c r="AR31" t="s">
        <v>642</v>
      </c>
      <c r="AS31" t="s">
        <v>642</v>
      </c>
      <c r="AT31" t="s">
        <v>642</v>
      </c>
    </row>
    <row r="32" spans="1:46" ht="12.75" customHeight="1">
      <c r="A32" s="39" t="s">
        <v>858</v>
      </c>
      <c r="B32" s="39" t="s">
        <v>757</v>
      </c>
      <c r="C32" s="39">
        <v>399653</v>
      </c>
      <c r="D32" s="39" t="s">
        <v>421</v>
      </c>
      <c r="E32" s="39" t="s">
        <v>1161</v>
      </c>
      <c r="F32" s="39" t="s">
        <v>621</v>
      </c>
      <c r="G32" s="39" t="s">
        <v>623</v>
      </c>
      <c r="H32" s="39"/>
      <c r="I32" s="39" t="s">
        <v>623</v>
      </c>
      <c r="J32" s="39"/>
      <c r="K32" s="39"/>
      <c r="L32" s="39" t="s">
        <v>859</v>
      </c>
      <c r="M32" s="39" t="s">
        <v>625</v>
      </c>
      <c r="N32" s="39"/>
      <c r="O32" s="39">
        <v>509</v>
      </c>
      <c r="P32" s="40">
        <v>45453</v>
      </c>
      <c r="Q32" s="39" t="s">
        <v>627</v>
      </c>
      <c r="R32" s="39" t="s">
        <v>761</v>
      </c>
      <c r="S32" s="39" t="s">
        <v>501</v>
      </c>
      <c r="T32" s="39" t="s">
        <v>828</v>
      </c>
      <c r="U32" s="39"/>
      <c r="V32" s="39"/>
      <c r="W32" s="39" t="s">
        <v>829</v>
      </c>
      <c r="X32" s="39" t="s">
        <v>860</v>
      </c>
      <c r="Y32" s="39" t="s">
        <v>861</v>
      </c>
      <c r="Z32" s="41" t="s">
        <v>831</v>
      </c>
      <c r="AA32" s="1" t="s">
        <v>862</v>
      </c>
      <c r="AB32" s="1">
        <v>1</v>
      </c>
      <c r="AC32" s="31"/>
      <c r="AD32"/>
      <c r="AK32" t="s">
        <v>642</v>
      </c>
      <c r="AL32" t="s">
        <v>642</v>
      </c>
      <c r="AM32" t="s">
        <v>642</v>
      </c>
      <c r="AN32" t="s">
        <v>642</v>
      </c>
      <c r="AO32" t="s">
        <v>642</v>
      </c>
      <c r="AP32" t="s">
        <v>642</v>
      </c>
      <c r="AQ32" t="s">
        <v>642</v>
      </c>
      <c r="AR32" t="s">
        <v>642</v>
      </c>
      <c r="AS32" t="s">
        <v>642</v>
      </c>
      <c r="AT32" t="s">
        <v>642</v>
      </c>
    </row>
    <row r="33" spans="1:46" ht="12.75" customHeight="1">
      <c r="A33" s="39" t="s">
        <v>863</v>
      </c>
      <c r="B33" s="39" t="s">
        <v>757</v>
      </c>
      <c r="C33" s="39">
        <v>401055</v>
      </c>
      <c r="D33" s="39" t="s">
        <v>421</v>
      </c>
      <c r="E33" s="39" t="s">
        <v>1162</v>
      </c>
      <c r="F33" s="39" t="s">
        <v>621</v>
      </c>
      <c r="G33" s="39" t="s">
        <v>623</v>
      </c>
      <c r="H33" s="39"/>
      <c r="I33" s="39" t="s">
        <v>623</v>
      </c>
      <c r="J33" s="39"/>
      <c r="K33" s="39"/>
      <c r="L33" s="39" t="s">
        <v>864</v>
      </c>
      <c r="M33" s="39" t="s">
        <v>625</v>
      </c>
      <c r="N33" s="39"/>
      <c r="O33" s="39">
        <v>344</v>
      </c>
      <c r="P33" s="40">
        <v>45453</v>
      </c>
      <c r="Q33" s="39" t="s">
        <v>627</v>
      </c>
      <c r="R33" s="39" t="s">
        <v>761</v>
      </c>
      <c r="S33" s="39" t="s">
        <v>501</v>
      </c>
      <c r="T33" s="39" t="s">
        <v>828</v>
      </c>
      <c r="U33" s="39"/>
      <c r="V33" s="39"/>
      <c r="W33" s="39" t="s">
        <v>829</v>
      </c>
      <c r="X33" s="39" t="s">
        <v>865</v>
      </c>
      <c r="Y33" s="39" t="s">
        <v>815</v>
      </c>
      <c r="Z33" s="41" t="s">
        <v>831</v>
      </c>
      <c r="AA33" s="1" t="s">
        <v>866</v>
      </c>
      <c r="AB33" s="1">
        <v>1</v>
      </c>
      <c r="AC33" s="31"/>
      <c r="AD33" s="43" t="s">
        <v>867</v>
      </c>
      <c r="AK33" t="s">
        <v>642</v>
      </c>
      <c r="AL33" t="s">
        <v>642</v>
      </c>
      <c r="AM33" t="s">
        <v>642</v>
      </c>
      <c r="AN33" t="s">
        <v>642</v>
      </c>
      <c r="AO33" t="s">
        <v>642</v>
      </c>
      <c r="AP33" t="s">
        <v>642</v>
      </c>
      <c r="AQ33" t="s">
        <v>642</v>
      </c>
      <c r="AR33" t="s">
        <v>642</v>
      </c>
      <c r="AS33" t="s">
        <v>642</v>
      </c>
      <c r="AT33" t="s">
        <v>642</v>
      </c>
    </row>
    <row r="34" spans="1:46" ht="12.75" customHeight="1">
      <c r="A34" s="39" t="s">
        <v>868</v>
      </c>
      <c r="B34" s="39" t="s">
        <v>757</v>
      </c>
      <c r="C34" s="39">
        <v>410983</v>
      </c>
      <c r="D34" s="39" t="s">
        <v>548</v>
      </c>
      <c r="E34" s="39" t="s">
        <v>1163</v>
      </c>
      <c r="F34" s="39" t="s">
        <v>621</v>
      </c>
      <c r="G34" s="39" t="s">
        <v>623</v>
      </c>
      <c r="H34" s="39"/>
      <c r="I34" s="39" t="s">
        <v>623</v>
      </c>
      <c r="J34" s="39"/>
      <c r="K34" s="39"/>
      <c r="L34" s="39" t="s">
        <v>869</v>
      </c>
      <c r="M34" s="39" t="s">
        <v>645</v>
      </c>
      <c r="N34" s="39"/>
      <c r="O34" s="39">
        <v>273</v>
      </c>
      <c r="P34" s="40">
        <v>45453</v>
      </c>
      <c r="Q34" s="39" t="s">
        <v>627</v>
      </c>
      <c r="R34" s="39" t="s">
        <v>761</v>
      </c>
      <c r="S34" s="39" t="s">
        <v>870</v>
      </c>
      <c r="T34" s="39" t="s">
        <v>871</v>
      </c>
      <c r="U34" s="39"/>
      <c r="V34" s="39"/>
      <c r="W34" s="39"/>
      <c r="X34" s="39" t="s">
        <v>872</v>
      </c>
      <c r="Y34" s="39" t="s">
        <v>861</v>
      </c>
      <c r="Z34" s="41" t="s">
        <v>873</v>
      </c>
      <c r="AA34" s="1" t="s">
        <v>874</v>
      </c>
      <c r="AB34" s="1">
        <v>1</v>
      </c>
      <c r="AC34" s="31"/>
      <c r="AD34" s="43" t="s">
        <v>875</v>
      </c>
      <c r="AM34" t="s">
        <v>876</v>
      </c>
    </row>
    <row r="35" spans="1:46" ht="12.75" customHeight="1">
      <c r="A35" s="39" t="s">
        <v>877</v>
      </c>
      <c r="B35" s="39" t="s">
        <v>757</v>
      </c>
      <c r="C35" s="39">
        <v>414608</v>
      </c>
      <c r="D35" s="39" t="s">
        <v>283</v>
      </c>
      <c r="E35" s="39" t="s">
        <v>878</v>
      </c>
      <c r="F35" s="39" t="s">
        <v>621</v>
      </c>
      <c r="G35" s="39" t="s">
        <v>623</v>
      </c>
      <c r="H35" s="39"/>
      <c r="I35" s="39" t="s">
        <v>623</v>
      </c>
      <c r="J35" s="39"/>
      <c r="K35" s="39" t="s">
        <v>879</v>
      </c>
      <c r="L35" s="39" t="s">
        <v>880</v>
      </c>
      <c r="M35" s="39" t="s">
        <v>645</v>
      </c>
      <c r="N35" s="39"/>
      <c r="O35" s="39">
        <v>281</v>
      </c>
      <c r="P35" s="40">
        <v>45453</v>
      </c>
      <c r="Q35" s="39" t="s">
        <v>627</v>
      </c>
      <c r="R35" s="39" t="s">
        <v>761</v>
      </c>
      <c r="S35" s="39" t="s">
        <v>881</v>
      </c>
      <c r="T35" s="39" t="s">
        <v>882</v>
      </c>
      <c r="U35" s="39"/>
      <c r="V35" s="39"/>
      <c r="W35" s="39"/>
      <c r="X35" s="39" t="s">
        <v>883</v>
      </c>
      <c r="Y35" s="39" t="s">
        <v>884</v>
      </c>
      <c r="Z35" s="41" t="s">
        <v>831</v>
      </c>
      <c r="AA35" s="1" t="s">
        <v>885</v>
      </c>
      <c r="AB35" s="1">
        <v>1</v>
      </c>
      <c r="AC35" s="31"/>
      <c r="AD35"/>
      <c r="AM35" t="s">
        <v>886</v>
      </c>
    </row>
    <row r="36" spans="1:46" ht="12.75" customHeight="1">
      <c r="A36" s="39" t="s">
        <v>887</v>
      </c>
      <c r="B36" s="39" t="s">
        <v>757</v>
      </c>
      <c r="C36" s="39">
        <v>412025</v>
      </c>
      <c r="D36" s="39" t="s">
        <v>888</v>
      </c>
      <c r="E36" s="39" t="s">
        <v>889</v>
      </c>
      <c r="F36" s="39" t="s">
        <v>621</v>
      </c>
      <c r="G36" s="39" t="s">
        <v>623</v>
      </c>
      <c r="H36" s="39"/>
      <c r="I36" s="39" t="s">
        <v>623</v>
      </c>
      <c r="J36" s="39"/>
      <c r="K36" s="39"/>
      <c r="L36" s="39" t="s">
        <v>890</v>
      </c>
      <c r="M36" s="39" t="s">
        <v>625</v>
      </c>
      <c r="N36" s="39"/>
      <c r="O36" s="39">
        <v>345</v>
      </c>
      <c r="P36" s="40">
        <v>45453</v>
      </c>
      <c r="Q36" s="39" t="s">
        <v>627</v>
      </c>
      <c r="R36" s="39" t="s">
        <v>761</v>
      </c>
      <c r="S36" s="39" t="s">
        <v>891</v>
      </c>
      <c r="T36" s="39" t="s">
        <v>892</v>
      </c>
      <c r="U36" s="39"/>
      <c r="V36" s="39"/>
      <c r="W36" s="39"/>
      <c r="X36" s="39" t="s">
        <v>893</v>
      </c>
      <c r="Y36" s="39" t="s">
        <v>633</v>
      </c>
      <c r="Z36" s="41" t="s">
        <v>873</v>
      </c>
      <c r="AA36" s="1" t="s">
        <v>894</v>
      </c>
      <c r="AB36" s="1">
        <v>1</v>
      </c>
      <c r="AC36" s="31"/>
      <c r="AD36"/>
      <c r="AM36" t="s">
        <v>895</v>
      </c>
    </row>
    <row r="37" spans="1:46" ht="12.75" customHeight="1">
      <c r="A37" s="39" t="s">
        <v>896</v>
      </c>
      <c r="B37" s="39" t="s">
        <v>757</v>
      </c>
      <c r="C37" s="39">
        <v>407906</v>
      </c>
      <c r="D37" s="39" t="s">
        <v>523</v>
      </c>
      <c r="E37" s="39" t="s">
        <v>1164</v>
      </c>
      <c r="F37" s="39" t="s">
        <v>621</v>
      </c>
      <c r="G37" s="39" t="s">
        <v>623</v>
      </c>
      <c r="H37" s="39"/>
      <c r="I37" s="39" t="s">
        <v>623</v>
      </c>
      <c r="J37" s="39"/>
      <c r="K37" s="39" t="s">
        <v>879</v>
      </c>
      <c r="L37" s="39" t="s">
        <v>897</v>
      </c>
      <c r="M37" s="39" t="s">
        <v>625</v>
      </c>
      <c r="N37" s="39" t="s">
        <v>626</v>
      </c>
      <c r="O37" s="39">
        <v>376</v>
      </c>
      <c r="P37" s="40">
        <v>45453</v>
      </c>
      <c r="Q37" s="39" t="s">
        <v>627</v>
      </c>
      <c r="R37" s="39" t="s">
        <v>761</v>
      </c>
      <c r="S37" s="39" t="s">
        <v>898</v>
      </c>
      <c r="T37" s="39" t="s">
        <v>899</v>
      </c>
      <c r="U37" s="39"/>
      <c r="V37" s="39"/>
      <c r="W37" s="39" t="s">
        <v>879</v>
      </c>
      <c r="X37" s="39" t="s">
        <v>900</v>
      </c>
      <c r="Y37" s="39" t="s">
        <v>901</v>
      </c>
      <c r="Z37" s="41" t="s">
        <v>873</v>
      </c>
      <c r="AA37" s="1" t="s">
        <v>902</v>
      </c>
      <c r="AB37" s="1">
        <v>1</v>
      </c>
      <c r="AC37" s="31"/>
      <c r="AD37"/>
      <c r="AK37" t="s">
        <v>642</v>
      </c>
      <c r="AL37" t="s">
        <v>642</v>
      </c>
      <c r="AM37" t="s">
        <v>642</v>
      </c>
      <c r="AN37" t="s">
        <v>642</v>
      </c>
      <c r="AO37" t="s">
        <v>642</v>
      </c>
      <c r="AP37" t="s">
        <v>642</v>
      </c>
      <c r="AQ37" t="s">
        <v>642</v>
      </c>
      <c r="AR37" t="s">
        <v>642</v>
      </c>
      <c r="AS37" t="s">
        <v>642</v>
      </c>
      <c r="AT37" t="s">
        <v>642</v>
      </c>
    </row>
    <row r="38" spans="1:46" ht="12.75" customHeight="1">
      <c r="A38" s="39" t="s">
        <v>903</v>
      </c>
      <c r="B38" s="39" t="s">
        <v>757</v>
      </c>
      <c r="C38" s="39">
        <v>414625</v>
      </c>
      <c r="D38" s="39" t="s">
        <v>10</v>
      </c>
      <c r="E38" s="39" t="s">
        <v>904</v>
      </c>
      <c r="F38" s="39" t="s">
        <v>621</v>
      </c>
      <c r="G38" s="39" t="s">
        <v>623</v>
      </c>
      <c r="H38" s="39">
        <v>0</v>
      </c>
      <c r="I38" s="39" t="s">
        <v>623</v>
      </c>
      <c r="J38" s="39"/>
      <c r="K38" s="39" t="s">
        <v>905</v>
      </c>
      <c r="L38" s="39" t="s">
        <v>906</v>
      </c>
      <c r="M38" s="39" t="s">
        <v>760</v>
      </c>
      <c r="N38" s="39"/>
      <c r="O38" s="39">
        <v>304</v>
      </c>
      <c r="P38" s="40">
        <v>45453</v>
      </c>
      <c r="Q38" s="39" t="s">
        <v>627</v>
      </c>
      <c r="R38" s="39" t="s">
        <v>761</v>
      </c>
      <c r="S38" s="39" t="s">
        <v>907</v>
      </c>
      <c r="T38" s="39" t="s">
        <v>908</v>
      </c>
      <c r="U38" s="39"/>
      <c r="V38" s="39"/>
      <c r="W38" s="39" t="s">
        <v>1165</v>
      </c>
      <c r="X38" s="39" t="s">
        <v>909</v>
      </c>
      <c r="Y38" s="39" t="s">
        <v>664</v>
      </c>
      <c r="Z38" s="41" t="s">
        <v>764</v>
      </c>
      <c r="AA38" s="1" t="s">
        <v>910</v>
      </c>
      <c r="AB38" s="1">
        <v>1</v>
      </c>
      <c r="AC38" s="31"/>
      <c r="AD38"/>
      <c r="AK38" t="s">
        <v>642</v>
      </c>
      <c r="AL38" t="s">
        <v>642</v>
      </c>
      <c r="AM38" t="s">
        <v>642</v>
      </c>
      <c r="AN38" t="s">
        <v>642</v>
      </c>
      <c r="AO38" t="s">
        <v>642</v>
      </c>
      <c r="AP38" t="s">
        <v>642</v>
      </c>
      <c r="AQ38" t="s">
        <v>642</v>
      </c>
      <c r="AR38" t="s">
        <v>642</v>
      </c>
      <c r="AS38" t="s">
        <v>642</v>
      </c>
      <c r="AT38" t="s">
        <v>642</v>
      </c>
    </row>
    <row r="39" spans="1:46" ht="12.75" customHeight="1">
      <c r="A39" s="39" t="s">
        <v>911</v>
      </c>
      <c r="B39" s="39" t="s">
        <v>757</v>
      </c>
      <c r="C39" s="39">
        <v>414631</v>
      </c>
      <c r="D39" s="39" t="s">
        <v>409</v>
      </c>
      <c r="E39" s="39" t="s">
        <v>912</v>
      </c>
      <c r="F39" s="39" t="s">
        <v>621</v>
      </c>
      <c r="G39" s="39" t="s">
        <v>623</v>
      </c>
      <c r="H39" s="39"/>
      <c r="I39" s="39" t="s">
        <v>623</v>
      </c>
      <c r="J39" s="39"/>
      <c r="K39" s="39"/>
      <c r="L39" s="39" t="s">
        <v>913</v>
      </c>
      <c r="M39" s="39" t="s">
        <v>625</v>
      </c>
      <c r="N39" s="39"/>
      <c r="O39" s="39">
        <v>340</v>
      </c>
      <c r="P39" s="40">
        <v>45453</v>
      </c>
      <c r="Q39" s="39" t="s">
        <v>627</v>
      </c>
      <c r="R39" s="39" t="s">
        <v>761</v>
      </c>
      <c r="S39" s="39" t="s">
        <v>914</v>
      </c>
      <c r="T39" s="39" t="s">
        <v>915</v>
      </c>
      <c r="U39" s="39"/>
      <c r="V39" s="39"/>
      <c r="W39" s="39" t="s">
        <v>916</v>
      </c>
      <c r="X39" s="39" t="s">
        <v>917</v>
      </c>
      <c r="Y39" s="39" t="s">
        <v>656</v>
      </c>
      <c r="Z39" s="41" t="s">
        <v>764</v>
      </c>
      <c r="AA39" s="1" t="s">
        <v>918</v>
      </c>
      <c r="AB39" s="1">
        <v>1</v>
      </c>
      <c r="AC39" s="31"/>
      <c r="AD39" s="44" t="s">
        <v>919</v>
      </c>
      <c r="AK39" t="s">
        <v>642</v>
      </c>
      <c r="AL39" t="s">
        <v>642</v>
      </c>
      <c r="AM39" t="s">
        <v>642</v>
      </c>
      <c r="AN39" t="s">
        <v>642</v>
      </c>
      <c r="AO39" t="s">
        <v>642</v>
      </c>
      <c r="AP39" t="s">
        <v>642</v>
      </c>
      <c r="AQ39" t="s">
        <v>642</v>
      </c>
      <c r="AR39" t="s">
        <v>642</v>
      </c>
      <c r="AS39" t="s">
        <v>642</v>
      </c>
      <c r="AT39" t="s">
        <v>642</v>
      </c>
    </row>
    <row r="40" spans="1:46" ht="12.75" customHeight="1">
      <c r="A40" s="39" t="s">
        <v>920</v>
      </c>
      <c r="B40" s="39" t="s">
        <v>757</v>
      </c>
      <c r="C40" s="39">
        <v>406279</v>
      </c>
      <c r="D40" s="39" t="s">
        <v>414</v>
      </c>
      <c r="E40" s="39" t="s">
        <v>921</v>
      </c>
      <c r="F40" s="39" t="s">
        <v>621</v>
      </c>
      <c r="G40" s="39" t="s">
        <v>623</v>
      </c>
      <c r="H40" s="39"/>
      <c r="I40" s="39" t="s">
        <v>623</v>
      </c>
      <c r="J40" s="39"/>
      <c r="K40" s="39" t="s">
        <v>776</v>
      </c>
      <c r="L40" s="39" t="s">
        <v>922</v>
      </c>
      <c r="M40" s="39" t="s">
        <v>625</v>
      </c>
      <c r="N40" s="39" t="s">
        <v>778</v>
      </c>
      <c r="O40" s="39">
        <v>272</v>
      </c>
      <c r="P40" s="40">
        <v>45453</v>
      </c>
      <c r="Q40" s="39" t="s">
        <v>627</v>
      </c>
      <c r="R40" s="39" t="s">
        <v>761</v>
      </c>
      <c r="S40" s="39" t="s">
        <v>923</v>
      </c>
      <c r="T40" s="39" t="s">
        <v>924</v>
      </c>
      <c r="U40" s="39"/>
      <c r="V40" s="39"/>
      <c r="W40" s="39" t="s">
        <v>780</v>
      </c>
      <c r="X40" s="39" t="s">
        <v>925</v>
      </c>
      <c r="Y40" s="39" t="s">
        <v>656</v>
      </c>
      <c r="Z40" s="41" t="s">
        <v>764</v>
      </c>
      <c r="AA40" s="1" t="s">
        <v>926</v>
      </c>
      <c r="AB40" s="1">
        <v>1</v>
      </c>
      <c r="AC40" s="31"/>
      <c r="AD40"/>
      <c r="AK40" t="s">
        <v>642</v>
      </c>
      <c r="AL40" t="s">
        <v>642</v>
      </c>
      <c r="AM40" t="s">
        <v>642</v>
      </c>
      <c r="AN40" t="s">
        <v>642</v>
      </c>
      <c r="AO40" t="s">
        <v>642</v>
      </c>
      <c r="AP40" t="s">
        <v>642</v>
      </c>
      <c r="AQ40" t="s">
        <v>642</v>
      </c>
      <c r="AR40" t="s">
        <v>642</v>
      </c>
      <c r="AS40" t="s">
        <v>642</v>
      </c>
      <c r="AT40" t="s">
        <v>642</v>
      </c>
    </row>
    <row r="41" spans="1:46" ht="12.75" customHeight="1">
      <c r="A41" s="39" t="s">
        <v>927</v>
      </c>
      <c r="B41" s="39" t="s">
        <v>757</v>
      </c>
      <c r="C41" s="39">
        <v>413969</v>
      </c>
      <c r="D41" s="39" t="s">
        <v>418</v>
      </c>
      <c r="E41" s="39" t="s">
        <v>928</v>
      </c>
      <c r="F41" s="39" t="s">
        <v>621</v>
      </c>
      <c r="G41" s="39" t="s">
        <v>622</v>
      </c>
      <c r="H41" s="39">
        <v>65</v>
      </c>
      <c r="I41" s="39" t="s">
        <v>623</v>
      </c>
      <c r="J41" s="39"/>
      <c r="K41" s="39"/>
      <c r="L41" s="39" t="s">
        <v>929</v>
      </c>
      <c r="M41" s="39" t="s">
        <v>760</v>
      </c>
      <c r="N41" s="39"/>
      <c r="O41" s="39">
        <v>352</v>
      </c>
      <c r="P41" s="40">
        <v>45453</v>
      </c>
      <c r="Q41" s="39" t="s">
        <v>627</v>
      </c>
      <c r="R41" s="39" t="s">
        <v>761</v>
      </c>
      <c r="S41" s="39" t="s">
        <v>930</v>
      </c>
      <c r="T41" s="39" t="s">
        <v>931</v>
      </c>
      <c r="U41" s="39"/>
      <c r="V41" s="39"/>
      <c r="W41" s="39" t="s">
        <v>932</v>
      </c>
      <c r="X41" s="39" t="s">
        <v>933</v>
      </c>
      <c r="Y41" s="39" t="s">
        <v>815</v>
      </c>
      <c r="Z41" s="41" t="s">
        <v>764</v>
      </c>
      <c r="AA41" s="1" t="s">
        <v>934</v>
      </c>
      <c r="AB41" s="1">
        <v>1</v>
      </c>
      <c r="AC41" s="31"/>
      <c r="AD41"/>
      <c r="AK41" t="s">
        <v>642</v>
      </c>
      <c r="AL41" t="s">
        <v>642</v>
      </c>
      <c r="AM41" t="s">
        <v>642</v>
      </c>
      <c r="AN41" t="s">
        <v>642</v>
      </c>
      <c r="AO41" t="s">
        <v>642</v>
      </c>
      <c r="AP41" t="s">
        <v>642</v>
      </c>
      <c r="AQ41" t="s">
        <v>642</v>
      </c>
      <c r="AR41" t="s">
        <v>642</v>
      </c>
      <c r="AS41" t="s">
        <v>642</v>
      </c>
      <c r="AT41" t="s">
        <v>642</v>
      </c>
    </row>
    <row r="42" spans="1:46" ht="12.75" customHeight="1">
      <c r="A42" s="39" t="s">
        <v>935</v>
      </c>
      <c r="B42" s="39" t="s">
        <v>757</v>
      </c>
      <c r="C42" s="39">
        <v>411658</v>
      </c>
      <c r="D42" s="39" t="s">
        <v>418</v>
      </c>
      <c r="E42" s="39" t="s">
        <v>936</v>
      </c>
      <c r="F42" s="39" t="s">
        <v>621</v>
      </c>
      <c r="G42" s="39" t="s">
        <v>622</v>
      </c>
      <c r="H42" s="39">
        <v>65</v>
      </c>
      <c r="I42" s="39" t="s">
        <v>623</v>
      </c>
      <c r="J42" s="39"/>
      <c r="K42" s="39" t="s">
        <v>937</v>
      </c>
      <c r="L42" s="39" t="s">
        <v>938</v>
      </c>
      <c r="M42" s="39" t="s">
        <v>760</v>
      </c>
      <c r="N42" s="39"/>
      <c r="O42" s="39">
        <v>342</v>
      </c>
      <c r="P42" s="40">
        <v>45453</v>
      </c>
      <c r="Q42" s="39" t="s">
        <v>627</v>
      </c>
      <c r="R42" s="39" t="s">
        <v>761</v>
      </c>
      <c r="S42" s="39" t="s">
        <v>939</v>
      </c>
      <c r="T42" s="39" t="s">
        <v>940</v>
      </c>
      <c r="U42" s="39"/>
      <c r="V42" s="39"/>
      <c r="W42" s="39" t="s">
        <v>941</v>
      </c>
      <c r="X42" s="39" t="s">
        <v>942</v>
      </c>
      <c r="Y42" s="39" t="s">
        <v>815</v>
      </c>
      <c r="Z42" s="41" t="s">
        <v>764</v>
      </c>
      <c r="AA42" s="1" t="s">
        <v>943</v>
      </c>
      <c r="AB42" s="1">
        <v>1</v>
      </c>
      <c r="AC42" s="31"/>
      <c r="AD42"/>
      <c r="AK42" t="s">
        <v>642</v>
      </c>
      <c r="AL42" t="s">
        <v>642</v>
      </c>
      <c r="AM42" t="s">
        <v>642</v>
      </c>
      <c r="AN42" t="s">
        <v>642</v>
      </c>
      <c r="AO42" t="s">
        <v>642</v>
      </c>
      <c r="AP42" t="s">
        <v>642</v>
      </c>
      <c r="AQ42" t="s">
        <v>642</v>
      </c>
      <c r="AR42" t="s">
        <v>642</v>
      </c>
      <c r="AS42" t="s">
        <v>642</v>
      </c>
      <c r="AT42" t="s">
        <v>642</v>
      </c>
    </row>
    <row r="43" spans="1:46" ht="12.75" customHeight="1">
      <c r="A43" s="39" t="s">
        <v>944</v>
      </c>
      <c r="B43" s="39" t="s">
        <v>757</v>
      </c>
      <c r="C43" s="39">
        <v>412544</v>
      </c>
      <c r="D43" s="39" t="s">
        <v>414</v>
      </c>
      <c r="E43" s="39" t="s">
        <v>945</v>
      </c>
      <c r="F43" s="39" t="s">
        <v>621</v>
      </c>
      <c r="G43" s="39" t="s">
        <v>623</v>
      </c>
      <c r="H43" s="39"/>
      <c r="I43" s="39" t="s">
        <v>623</v>
      </c>
      <c r="J43" s="39"/>
      <c r="K43" s="39" t="s">
        <v>776</v>
      </c>
      <c r="L43" s="39" t="s">
        <v>946</v>
      </c>
      <c r="M43" s="39" t="s">
        <v>625</v>
      </c>
      <c r="N43" s="39" t="s">
        <v>778</v>
      </c>
      <c r="O43" s="39">
        <v>270</v>
      </c>
      <c r="P43" s="40">
        <v>45453</v>
      </c>
      <c r="Q43" s="39" t="s">
        <v>627</v>
      </c>
      <c r="R43" s="39" t="s">
        <v>761</v>
      </c>
      <c r="S43" s="39" t="s">
        <v>1166</v>
      </c>
      <c r="T43" s="39" t="s">
        <v>947</v>
      </c>
      <c r="U43" s="39"/>
      <c r="V43" s="39"/>
      <c r="W43" s="39" t="s">
        <v>780</v>
      </c>
      <c r="X43" s="39" t="s">
        <v>948</v>
      </c>
      <c r="Y43" s="39" t="s">
        <v>656</v>
      </c>
      <c r="Z43" s="41" t="s">
        <v>764</v>
      </c>
      <c r="AA43" s="1" t="s">
        <v>949</v>
      </c>
      <c r="AB43" s="1">
        <v>1</v>
      </c>
      <c r="AC43" s="31"/>
      <c r="AD43"/>
      <c r="AK43" t="s">
        <v>642</v>
      </c>
      <c r="AL43" t="s">
        <v>642</v>
      </c>
      <c r="AM43" t="s">
        <v>642</v>
      </c>
      <c r="AN43" t="s">
        <v>642</v>
      </c>
      <c r="AO43" t="s">
        <v>642</v>
      </c>
      <c r="AP43" t="s">
        <v>642</v>
      </c>
      <c r="AQ43" t="s">
        <v>642</v>
      </c>
      <c r="AR43" t="s">
        <v>642</v>
      </c>
      <c r="AS43" t="s">
        <v>642</v>
      </c>
      <c r="AT43" t="s">
        <v>642</v>
      </c>
    </row>
    <row r="44" spans="1:46" ht="12.75" customHeight="1">
      <c r="A44" s="39" t="s">
        <v>950</v>
      </c>
      <c r="B44" s="39" t="s">
        <v>757</v>
      </c>
      <c r="C44" s="39">
        <v>399752</v>
      </c>
      <c r="D44" s="39" t="s">
        <v>10</v>
      </c>
      <c r="E44" s="39" t="s">
        <v>951</v>
      </c>
      <c r="F44" s="39" t="s">
        <v>621</v>
      </c>
      <c r="G44" s="39" t="s">
        <v>622</v>
      </c>
      <c r="H44" s="39">
        <v>180</v>
      </c>
      <c r="I44" s="39" t="s">
        <v>622</v>
      </c>
      <c r="J44" s="39">
        <v>30</v>
      </c>
      <c r="K44" s="39" t="s">
        <v>1167</v>
      </c>
      <c r="L44" s="39" t="s">
        <v>952</v>
      </c>
      <c r="M44" s="39" t="s">
        <v>625</v>
      </c>
      <c r="N44" s="39"/>
      <c r="O44" s="39">
        <v>950</v>
      </c>
      <c r="P44" s="40">
        <v>45453</v>
      </c>
      <c r="Q44" s="39" t="s">
        <v>627</v>
      </c>
      <c r="R44" s="39" t="s">
        <v>761</v>
      </c>
      <c r="S44" s="39" t="s">
        <v>953</v>
      </c>
      <c r="T44" s="39" t="s">
        <v>954</v>
      </c>
      <c r="U44" s="39"/>
      <c r="V44" s="39"/>
      <c r="W44" s="39" t="s">
        <v>1168</v>
      </c>
      <c r="X44" s="39" t="s">
        <v>955</v>
      </c>
      <c r="Y44" s="39" t="s">
        <v>956</v>
      </c>
      <c r="Z44" s="41" t="s">
        <v>957</v>
      </c>
      <c r="AA44" s="1" t="s">
        <v>958</v>
      </c>
      <c r="AB44" s="1">
        <v>1</v>
      </c>
      <c r="AC44" s="31"/>
      <c r="AD44" s="44" t="s">
        <v>959</v>
      </c>
      <c r="AK44" t="s">
        <v>642</v>
      </c>
      <c r="AL44" t="s">
        <v>642</v>
      </c>
      <c r="AM44" t="s">
        <v>642</v>
      </c>
      <c r="AN44" t="s">
        <v>642</v>
      </c>
      <c r="AO44" t="s">
        <v>642</v>
      </c>
      <c r="AP44" t="s">
        <v>642</v>
      </c>
      <c r="AQ44" t="s">
        <v>642</v>
      </c>
      <c r="AR44" t="s">
        <v>642</v>
      </c>
      <c r="AS44" t="s">
        <v>642</v>
      </c>
      <c r="AT44" t="s">
        <v>642</v>
      </c>
    </row>
    <row r="45" spans="1:46" ht="12.75" customHeight="1">
      <c r="A45" s="39" t="s">
        <v>960</v>
      </c>
      <c r="B45" s="39" t="s">
        <v>757</v>
      </c>
      <c r="C45" s="39">
        <v>420019</v>
      </c>
      <c r="D45" s="39" t="s">
        <v>961</v>
      </c>
      <c r="E45" s="39" t="s">
        <v>962</v>
      </c>
      <c r="F45" s="39" t="s">
        <v>621</v>
      </c>
      <c r="G45" s="39" t="s">
        <v>623</v>
      </c>
      <c r="H45" s="39"/>
      <c r="I45" s="39" t="s">
        <v>623</v>
      </c>
      <c r="J45" s="39"/>
      <c r="K45" s="39" t="s">
        <v>1169</v>
      </c>
      <c r="L45" s="39" t="s">
        <v>963</v>
      </c>
      <c r="M45" s="39" t="s">
        <v>760</v>
      </c>
      <c r="N45" s="39"/>
      <c r="O45" s="39">
        <v>999</v>
      </c>
      <c r="P45" s="40">
        <v>45453</v>
      </c>
      <c r="Q45" s="39" t="s">
        <v>627</v>
      </c>
      <c r="R45" s="39" t="s">
        <v>761</v>
      </c>
      <c r="S45" s="39" t="s">
        <v>964</v>
      </c>
      <c r="T45" s="39" t="s">
        <v>965</v>
      </c>
      <c r="U45" s="39"/>
      <c r="V45" s="39"/>
      <c r="W45" s="39" t="s">
        <v>1170</v>
      </c>
      <c r="X45" s="39" t="s">
        <v>966</v>
      </c>
      <c r="Y45" s="39" t="s">
        <v>967</v>
      </c>
      <c r="Z45" s="41" t="s">
        <v>957</v>
      </c>
      <c r="AA45" s="1" t="s">
        <v>968</v>
      </c>
      <c r="AB45" s="1">
        <v>1</v>
      </c>
      <c r="AC45" s="31"/>
      <c r="AD45"/>
      <c r="AK45" t="s">
        <v>642</v>
      </c>
      <c r="AL45" t="s">
        <v>642</v>
      </c>
      <c r="AM45" t="s">
        <v>642</v>
      </c>
      <c r="AN45" t="s">
        <v>642</v>
      </c>
      <c r="AO45" t="s">
        <v>642</v>
      </c>
      <c r="AP45" t="s">
        <v>642</v>
      </c>
      <c r="AQ45" t="s">
        <v>642</v>
      </c>
      <c r="AR45" t="s">
        <v>642</v>
      </c>
      <c r="AS45" t="s">
        <v>642</v>
      </c>
      <c r="AT45" t="s">
        <v>642</v>
      </c>
    </row>
    <row r="46" spans="1:46" ht="12.75" customHeight="1">
      <c r="A46" s="39" t="s">
        <v>969</v>
      </c>
      <c r="B46" s="39" t="s">
        <v>757</v>
      </c>
      <c r="C46" s="39">
        <v>403086</v>
      </c>
      <c r="D46" s="39" t="s">
        <v>556</v>
      </c>
      <c r="E46" s="39" t="s">
        <v>1171</v>
      </c>
      <c r="F46" s="39" t="s">
        <v>621</v>
      </c>
      <c r="G46" s="39" t="s">
        <v>623</v>
      </c>
      <c r="H46" s="39"/>
      <c r="I46" s="39" t="s">
        <v>623</v>
      </c>
      <c r="J46" s="39"/>
      <c r="K46" s="39"/>
      <c r="L46" s="39" t="s">
        <v>970</v>
      </c>
      <c r="M46" s="39" t="s">
        <v>625</v>
      </c>
      <c r="N46" s="39"/>
      <c r="O46" s="39">
        <v>407</v>
      </c>
      <c r="P46" s="40">
        <v>45453</v>
      </c>
      <c r="Q46" s="39" t="s">
        <v>627</v>
      </c>
      <c r="R46" s="39" t="s">
        <v>761</v>
      </c>
      <c r="S46" s="39" t="s">
        <v>971</v>
      </c>
      <c r="T46" s="39" t="s">
        <v>972</v>
      </c>
      <c r="U46" s="39"/>
      <c r="V46" s="39"/>
      <c r="W46" s="39"/>
      <c r="X46" s="39" t="s">
        <v>973</v>
      </c>
      <c r="Y46" s="39" t="s">
        <v>703</v>
      </c>
      <c r="Z46" s="41" t="s">
        <v>957</v>
      </c>
      <c r="AA46" s="1" t="s">
        <v>974</v>
      </c>
      <c r="AB46" s="1">
        <v>1</v>
      </c>
      <c r="AC46" s="31"/>
      <c r="AD46"/>
      <c r="AM46" t="s">
        <v>0</v>
      </c>
    </row>
    <row r="47" spans="1:46" ht="12.75" customHeight="1">
      <c r="A47" s="39" t="s">
        <v>975</v>
      </c>
      <c r="B47" s="39" t="s">
        <v>757</v>
      </c>
      <c r="C47" s="39">
        <v>411886</v>
      </c>
      <c r="D47" s="39" t="s">
        <v>888</v>
      </c>
      <c r="E47" s="39" t="s">
        <v>976</v>
      </c>
      <c r="F47" s="39" t="s">
        <v>621</v>
      </c>
      <c r="G47" s="39" t="s">
        <v>623</v>
      </c>
      <c r="H47" s="39"/>
      <c r="I47" s="39" t="s">
        <v>623</v>
      </c>
      <c r="J47" s="39"/>
      <c r="K47" s="39"/>
      <c r="L47" s="39" t="s">
        <v>977</v>
      </c>
      <c r="M47" s="39" t="s">
        <v>625</v>
      </c>
      <c r="N47" s="39"/>
      <c r="O47" s="39">
        <v>339</v>
      </c>
      <c r="P47" s="40">
        <v>45453</v>
      </c>
      <c r="Q47" s="39" t="s">
        <v>627</v>
      </c>
      <c r="R47" s="39" t="s">
        <v>761</v>
      </c>
      <c r="S47" s="39" t="s">
        <v>978</v>
      </c>
      <c r="T47" s="39" t="s">
        <v>979</v>
      </c>
      <c r="U47" s="39" t="s">
        <v>980</v>
      </c>
      <c r="V47" s="39" t="s">
        <v>981</v>
      </c>
      <c r="W47" s="39"/>
      <c r="X47" s="39" t="s">
        <v>982</v>
      </c>
      <c r="Y47" s="39" t="s">
        <v>633</v>
      </c>
      <c r="Z47" s="41" t="s">
        <v>873</v>
      </c>
      <c r="AA47" s="1" t="s">
        <v>983</v>
      </c>
      <c r="AB47" s="1">
        <v>1</v>
      </c>
      <c r="AC47" s="31"/>
      <c r="AD47"/>
      <c r="AM47" t="s">
        <v>984</v>
      </c>
    </row>
    <row r="48" spans="1:46" ht="12.75" customHeight="1">
      <c r="A48" s="39" t="s">
        <v>985</v>
      </c>
      <c r="B48" s="39" t="s">
        <v>757</v>
      </c>
      <c r="C48" s="39">
        <v>397567</v>
      </c>
      <c r="D48" s="39" t="s">
        <v>818</v>
      </c>
      <c r="E48" s="39" t="s">
        <v>1172</v>
      </c>
      <c r="F48" s="39" t="s">
        <v>621</v>
      </c>
      <c r="G48" s="39" t="s">
        <v>623</v>
      </c>
      <c r="H48" s="39"/>
      <c r="I48" s="39" t="s">
        <v>623</v>
      </c>
      <c r="J48" s="39"/>
      <c r="K48" s="39" t="s">
        <v>819</v>
      </c>
      <c r="L48" s="39" t="s">
        <v>986</v>
      </c>
      <c r="M48" s="39" t="s">
        <v>625</v>
      </c>
      <c r="N48" s="39"/>
      <c r="O48" s="39">
        <v>273</v>
      </c>
      <c r="P48" s="40">
        <v>45453</v>
      </c>
      <c r="Q48" s="39" t="s">
        <v>627</v>
      </c>
      <c r="R48" s="39" t="s">
        <v>761</v>
      </c>
      <c r="S48" s="39" t="s">
        <v>1173</v>
      </c>
      <c r="T48" s="39" t="s">
        <v>987</v>
      </c>
      <c r="U48" s="39"/>
      <c r="V48" s="39"/>
      <c r="W48" s="39"/>
      <c r="X48" s="39" t="s">
        <v>988</v>
      </c>
      <c r="Y48" s="39" t="s">
        <v>824</v>
      </c>
      <c r="Z48" s="41" t="s">
        <v>772</v>
      </c>
      <c r="AA48" s="1" t="s">
        <v>989</v>
      </c>
      <c r="AB48" s="1">
        <v>1</v>
      </c>
      <c r="AC48" s="31"/>
      <c r="AD48"/>
      <c r="AM48" t="s">
        <v>990</v>
      </c>
    </row>
    <row r="49" spans="1:46" ht="12.75" customHeight="1">
      <c r="A49" s="39" t="s">
        <v>991</v>
      </c>
      <c r="B49" s="39" t="s">
        <v>757</v>
      </c>
      <c r="C49" s="39">
        <v>405373</v>
      </c>
      <c r="D49" s="39" t="s">
        <v>818</v>
      </c>
      <c r="E49" s="39" t="s">
        <v>1174</v>
      </c>
      <c r="F49" s="39" t="s">
        <v>621</v>
      </c>
      <c r="G49" s="39" t="s">
        <v>623</v>
      </c>
      <c r="H49" s="39"/>
      <c r="I49" s="39" t="s">
        <v>623</v>
      </c>
      <c r="J49" s="39"/>
      <c r="K49" s="39" t="s">
        <v>819</v>
      </c>
      <c r="L49" s="39" t="s">
        <v>992</v>
      </c>
      <c r="M49" s="39" t="s">
        <v>625</v>
      </c>
      <c r="N49" s="39"/>
      <c r="O49" s="39">
        <v>285</v>
      </c>
      <c r="P49" s="40">
        <v>45453</v>
      </c>
      <c r="Q49" s="39" t="s">
        <v>627</v>
      </c>
      <c r="R49" s="39" t="s">
        <v>761</v>
      </c>
      <c r="S49" s="39" t="s">
        <v>993</v>
      </c>
      <c r="T49" s="39" t="s">
        <v>994</v>
      </c>
      <c r="U49" s="39"/>
      <c r="V49" s="39"/>
      <c r="W49" s="39"/>
      <c r="X49" s="39" t="s">
        <v>995</v>
      </c>
      <c r="Y49" s="39" t="s">
        <v>824</v>
      </c>
      <c r="Z49" s="41" t="s">
        <v>772</v>
      </c>
      <c r="AA49" s="1" t="s">
        <v>996</v>
      </c>
      <c r="AB49" s="1">
        <v>1</v>
      </c>
      <c r="AC49" s="31"/>
      <c r="AD49"/>
      <c r="AK49" t="s">
        <v>642</v>
      </c>
      <c r="AL49" t="s">
        <v>642</v>
      </c>
      <c r="AM49" t="s">
        <v>642</v>
      </c>
      <c r="AN49" t="s">
        <v>642</v>
      </c>
      <c r="AO49" t="s">
        <v>642</v>
      </c>
      <c r="AP49" t="s">
        <v>642</v>
      </c>
      <c r="AQ49" t="s">
        <v>642</v>
      </c>
      <c r="AR49" t="s">
        <v>642</v>
      </c>
      <c r="AS49" t="s">
        <v>642</v>
      </c>
      <c r="AT49" t="s">
        <v>642</v>
      </c>
    </row>
    <row r="50" spans="1:46" ht="12.75" customHeight="1">
      <c r="A50" s="39" t="s">
        <v>997</v>
      </c>
      <c r="B50" s="39" t="s">
        <v>757</v>
      </c>
      <c r="C50" s="39">
        <v>410795</v>
      </c>
      <c r="D50" s="39" t="s">
        <v>888</v>
      </c>
      <c r="E50" s="39" t="s">
        <v>998</v>
      </c>
      <c r="F50" s="39" t="s">
        <v>621</v>
      </c>
      <c r="G50" s="39" t="s">
        <v>623</v>
      </c>
      <c r="H50" s="39"/>
      <c r="I50" s="39" t="s">
        <v>623</v>
      </c>
      <c r="J50" s="39"/>
      <c r="K50" s="39"/>
      <c r="L50" s="39" t="s">
        <v>999</v>
      </c>
      <c r="M50" s="39" t="s">
        <v>625</v>
      </c>
      <c r="N50" s="39"/>
      <c r="O50" s="39">
        <v>303</v>
      </c>
      <c r="P50" s="40">
        <v>45453</v>
      </c>
      <c r="Q50" s="39" t="s">
        <v>627</v>
      </c>
      <c r="R50" s="39" t="s">
        <v>761</v>
      </c>
      <c r="S50" s="39" t="s">
        <v>1000</v>
      </c>
      <c r="T50" s="39" t="s">
        <v>1001</v>
      </c>
      <c r="U50" s="39"/>
      <c r="V50" s="39"/>
      <c r="W50" s="39"/>
      <c r="X50" s="39" t="s">
        <v>1002</v>
      </c>
      <c r="Y50" s="39" t="s">
        <v>633</v>
      </c>
      <c r="Z50" s="41" t="s">
        <v>772</v>
      </c>
      <c r="AA50" s="1" t="s">
        <v>1003</v>
      </c>
      <c r="AB50" s="1">
        <v>1</v>
      </c>
      <c r="AC50" s="31"/>
      <c r="AD50"/>
      <c r="AK50" t="s">
        <v>642</v>
      </c>
      <c r="AL50" t="s">
        <v>642</v>
      </c>
      <c r="AM50" t="s">
        <v>642</v>
      </c>
      <c r="AN50" t="s">
        <v>642</v>
      </c>
      <c r="AO50" t="s">
        <v>642</v>
      </c>
      <c r="AP50" t="s">
        <v>642</v>
      </c>
      <c r="AQ50" t="s">
        <v>642</v>
      </c>
      <c r="AR50" t="s">
        <v>642</v>
      </c>
      <c r="AS50" t="s">
        <v>642</v>
      </c>
      <c r="AT50" t="s">
        <v>642</v>
      </c>
    </row>
    <row r="51" spans="1:46" ht="12.75" customHeight="1">
      <c r="A51" s="39" t="s">
        <v>1004</v>
      </c>
      <c r="B51" s="39" t="s">
        <v>757</v>
      </c>
      <c r="C51" s="39">
        <v>418601</v>
      </c>
      <c r="D51" s="39" t="s">
        <v>432</v>
      </c>
      <c r="E51" s="39" t="s">
        <v>1175</v>
      </c>
      <c r="F51" s="39" t="s">
        <v>621</v>
      </c>
      <c r="G51" s="39" t="s">
        <v>623</v>
      </c>
      <c r="H51" s="39"/>
      <c r="I51" s="39" t="s">
        <v>623</v>
      </c>
      <c r="J51" s="39"/>
      <c r="K51" s="39"/>
      <c r="L51" s="39" t="s">
        <v>1005</v>
      </c>
      <c r="M51" s="39" t="s">
        <v>625</v>
      </c>
      <c r="N51" s="39"/>
      <c r="O51" s="39">
        <v>314</v>
      </c>
      <c r="P51" s="40">
        <v>45453</v>
      </c>
      <c r="Q51" s="39" t="s">
        <v>627</v>
      </c>
      <c r="R51" s="39" t="s">
        <v>761</v>
      </c>
      <c r="S51" s="39" t="s">
        <v>1176</v>
      </c>
      <c r="T51" s="39" t="s">
        <v>1006</v>
      </c>
      <c r="U51" s="39"/>
      <c r="V51" s="39"/>
      <c r="W51" s="39"/>
      <c r="X51" s="39" t="s">
        <v>1007</v>
      </c>
      <c r="Y51" s="39" t="s">
        <v>861</v>
      </c>
      <c r="Z51" s="41" t="s">
        <v>873</v>
      </c>
      <c r="AA51" s="1" t="s">
        <v>1008</v>
      </c>
      <c r="AB51" s="1">
        <v>1</v>
      </c>
      <c r="AC51" s="31"/>
      <c r="AD51"/>
      <c r="AK51" t="s">
        <v>642</v>
      </c>
      <c r="AL51" t="s">
        <v>642</v>
      </c>
      <c r="AM51" t="s">
        <v>642</v>
      </c>
      <c r="AN51" t="s">
        <v>642</v>
      </c>
      <c r="AO51" t="s">
        <v>642</v>
      </c>
      <c r="AP51" t="s">
        <v>642</v>
      </c>
      <c r="AQ51" t="s">
        <v>642</v>
      </c>
      <c r="AR51" t="s">
        <v>642</v>
      </c>
      <c r="AS51" t="s">
        <v>642</v>
      </c>
      <c r="AT51" t="s">
        <v>642</v>
      </c>
    </row>
    <row r="52" spans="1:46" ht="12.75" customHeight="1">
      <c r="A52" s="39" t="s">
        <v>1009</v>
      </c>
      <c r="B52" s="39" t="s">
        <v>757</v>
      </c>
      <c r="C52" s="39">
        <v>412062</v>
      </c>
      <c r="D52" s="39" t="s">
        <v>888</v>
      </c>
      <c r="E52" s="39" t="s">
        <v>1010</v>
      </c>
      <c r="F52" s="39" t="s">
        <v>621</v>
      </c>
      <c r="G52" s="39" t="s">
        <v>623</v>
      </c>
      <c r="H52" s="39"/>
      <c r="I52" s="39" t="s">
        <v>623</v>
      </c>
      <c r="J52" s="39"/>
      <c r="K52" s="39"/>
      <c r="L52" s="39" t="s">
        <v>1011</v>
      </c>
      <c r="M52" s="39" t="s">
        <v>645</v>
      </c>
      <c r="N52" s="39"/>
      <c r="O52" s="39">
        <v>250</v>
      </c>
      <c r="P52" s="40">
        <v>45453</v>
      </c>
      <c r="Q52" s="39" t="s">
        <v>627</v>
      </c>
      <c r="R52" s="39" t="s">
        <v>761</v>
      </c>
      <c r="S52" s="39" t="s">
        <v>980</v>
      </c>
      <c r="T52" s="39" t="s">
        <v>981</v>
      </c>
      <c r="U52" s="39"/>
      <c r="V52" s="39"/>
      <c r="W52" s="39"/>
      <c r="X52" s="39" t="s">
        <v>1012</v>
      </c>
      <c r="Y52" s="39" t="s">
        <v>633</v>
      </c>
      <c r="Z52" s="41" t="s">
        <v>873</v>
      </c>
      <c r="AA52" s="1" t="s">
        <v>1013</v>
      </c>
      <c r="AB52" s="1">
        <v>1</v>
      </c>
      <c r="AC52" s="31"/>
      <c r="AD52"/>
      <c r="AK52" t="s">
        <v>642</v>
      </c>
      <c r="AL52" t="s">
        <v>642</v>
      </c>
      <c r="AM52" t="s">
        <v>642</v>
      </c>
      <c r="AN52" t="s">
        <v>642</v>
      </c>
      <c r="AO52" t="s">
        <v>642</v>
      </c>
      <c r="AP52" t="s">
        <v>642</v>
      </c>
      <c r="AQ52" t="s">
        <v>642</v>
      </c>
      <c r="AR52" t="s">
        <v>642</v>
      </c>
      <c r="AS52" t="s">
        <v>642</v>
      </c>
      <c r="AT52" t="s">
        <v>642</v>
      </c>
    </row>
    <row r="53" spans="1:46" ht="12.75" customHeight="1">
      <c r="A53" s="39" t="s">
        <v>1014</v>
      </c>
      <c r="B53" s="39" t="s">
        <v>757</v>
      </c>
      <c r="C53" s="39">
        <v>412088</v>
      </c>
      <c r="D53" s="39" t="s">
        <v>888</v>
      </c>
      <c r="E53" s="39" t="s">
        <v>1015</v>
      </c>
      <c r="F53" s="39" t="s">
        <v>621</v>
      </c>
      <c r="G53" s="39" t="s">
        <v>623</v>
      </c>
      <c r="H53" s="39"/>
      <c r="I53" s="39" t="s">
        <v>623</v>
      </c>
      <c r="J53" s="39"/>
      <c r="K53" s="39"/>
      <c r="L53" s="39" t="s">
        <v>1016</v>
      </c>
      <c r="M53" s="39" t="s">
        <v>625</v>
      </c>
      <c r="N53" s="39"/>
      <c r="O53" s="39">
        <v>391</v>
      </c>
      <c r="P53" s="40">
        <v>45453</v>
      </c>
      <c r="Q53" s="39" t="s">
        <v>627</v>
      </c>
      <c r="R53" s="39" t="s">
        <v>761</v>
      </c>
      <c r="S53" s="39" t="s">
        <v>980</v>
      </c>
      <c r="T53" s="39" t="s">
        <v>981</v>
      </c>
      <c r="U53" s="39"/>
      <c r="V53" s="39"/>
      <c r="W53" s="39"/>
      <c r="X53" s="39" t="s">
        <v>1017</v>
      </c>
      <c r="Y53" s="39" t="s">
        <v>633</v>
      </c>
      <c r="Z53" s="41" t="s">
        <v>873</v>
      </c>
      <c r="AA53" s="1" t="s">
        <v>1018</v>
      </c>
      <c r="AB53" s="1">
        <v>1</v>
      </c>
      <c r="AC53" s="31"/>
      <c r="AD53"/>
      <c r="AK53" t="s">
        <v>642</v>
      </c>
      <c r="AL53" t="s">
        <v>642</v>
      </c>
      <c r="AM53" t="s">
        <v>642</v>
      </c>
      <c r="AN53" t="s">
        <v>642</v>
      </c>
      <c r="AO53" t="s">
        <v>642</v>
      </c>
      <c r="AP53" t="s">
        <v>642</v>
      </c>
      <c r="AQ53" t="s">
        <v>642</v>
      </c>
      <c r="AR53" t="s">
        <v>642</v>
      </c>
      <c r="AS53" t="s">
        <v>642</v>
      </c>
      <c r="AT53" t="s">
        <v>642</v>
      </c>
    </row>
    <row r="54" spans="1:46" ht="12.75" customHeight="1">
      <c r="A54" s="39" t="s">
        <v>1019</v>
      </c>
      <c r="B54" s="39" t="s">
        <v>757</v>
      </c>
      <c r="C54" s="39">
        <v>409890</v>
      </c>
      <c r="D54" s="39" t="s">
        <v>888</v>
      </c>
      <c r="E54" s="39" t="s">
        <v>1020</v>
      </c>
      <c r="F54" s="39" t="s">
        <v>621</v>
      </c>
      <c r="G54" s="39" t="s">
        <v>623</v>
      </c>
      <c r="H54" s="39"/>
      <c r="I54" s="39" t="s">
        <v>623</v>
      </c>
      <c r="J54" s="39"/>
      <c r="K54" s="39"/>
      <c r="L54" s="39" t="s">
        <v>1021</v>
      </c>
      <c r="M54" s="39" t="s">
        <v>625</v>
      </c>
      <c r="N54" s="39"/>
      <c r="O54" s="39">
        <v>337</v>
      </c>
      <c r="P54" s="40">
        <v>45453</v>
      </c>
      <c r="Q54" s="39" t="s">
        <v>627</v>
      </c>
      <c r="R54" s="39" t="s">
        <v>761</v>
      </c>
      <c r="S54" s="39" t="s">
        <v>1022</v>
      </c>
      <c r="T54" s="39" t="s">
        <v>1023</v>
      </c>
      <c r="U54" s="39"/>
      <c r="V54" s="39"/>
      <c r="W54" s="39"/>
      <c r="X54" s="39" t="s">
        <v>1024</v>
      </c>
      <c r="Y54" s="39" t="s">
        <v>633</v>
      </c>
      <c r="Z54" s="41" t="s">
        <v>873</v>
      </c>
      <c r="AA54" s="1" t="s">
        <v>1025</v>
      </c>
      <c r="AB54" s="1">
        <v>1</v>
      </c>
      <c r="AC54" s="31"/>
      <c r="AD54"/>
      <c r="AK54" t="s">
        <v>642</v>
      </c>
      <c r="AL54" t="s">
        <v>642</v>
      </c>
      <c r="AM54" t="s">
        <v>642</v>
      </c>
      <c r="AN54" t="s">
        <v>642</v>
      </c>
      <c r="AO54" t="s">
        <v>642</v>
      </c>
      <c r="AP54" t="s">
        <v>642</v>
      </c>
      <c r="AQ54" t="s">
        <v>642</v>
      </c>
      <c r="AR54" t="s">
        <v>642</v>
      </c>
      <c r="AS54" t="s">
        <v>642</v>
      </c>
      <c r="AT54" t="s">
        <v>642</v>
      </c>
    </row>
    <row r="55" spans="1:46" ht="12.75" customHeight="1">
      <c r="A55" s="39" t="s">
        <v>1026</v>
      </c>
      <c r="B55" s="39" t="s">
        <v>1027</v>
      </c>
      <c r="C55" s="39">
        <v>412699</v>
      </c>
      <c r="D55" s="39" t="s">
        <v>1028</v>
      </c>
      <c r="E55" s="39" t="s">
        <v>1177</v>
      </c>
      <c r="F55" s="39" t="s">
        <v>621</v>
      </c>
      <c r="G55" s="39" t="s">
        <v>623</v>
      </c>
      <c r="H55" s="39"/>
      <c r="I55" s="39" t="s">
        <v>623</v>
      </c>
      <c r="J55" s="39"/>
      <c r="K55" s="39"/>
      <c r="L55" s="39" t="s">
        <v>1029</v>
      </c>
      <c r="M55" s="39" t="s">
        <v>645</v>
      </c>
      <c r="N55" s="39"/>
      <c r="O55" s="39">
        <v>83</v>
      </c>
      <c r="P55" s="40">
        <v>45453</v>
      </c>
      <c r="Q55" s="39" t="s">
        <v>627</v>
      </c>
      <c r="R55" s="39" t="s">
        <v>1030</v>
      </c>
      <c r="S55" s="39" t="s">
        <v>1031</v>
      </c>
      <c r="T55" s="39" t="s">
        <v>1032</v>
      </c>
      <c r="U55" s="39"/>
      <c r="V55" s="39"/>
      <c r="W55" s="39"/>
      <c r="X55" s="39" t="s">
        <v>1033</v>
      </c>
      <c r="Y55" s="39" t="s">
        <v>656</v>
      </c>
      <c r="Z55" s="41" t="s">
        <v>1034</v>
      </c>
      <c r="AA55" s="1" t="s">
        <v>1035</v>
      </c>
      <c r="AB55" s="1">
        <v>1</v>
      </c>
      <c r="AC55" s="31"/>
      <c r="AD55"/>
      <c r="AK55" t="s">
        <v>642</v>
      </c>
      <c r="AL55" t="s">
        <v>642</v>
      </c>
      <c r="AM55" t="s">
        <v>642</v>
      </c>
      <c r="AN55" t="s">
        <v>642</v>
      </c>
      <c r="AO55" t="s">
        <v>642</v>
      </c>
      <c r="AP55" t="s">
        <v>642</v>
      </c>
      <c r="AQ55" t="s">
        <v>642</v>
      </c>
      <c r="AR55" t="s">
        <v>642</v>
      </c>
      <c r="AS55" t="s">
        <v>642</v>
      </c>
      <c r="AT55" t="s">
        <v>642</v>
      </c>
    </row>
    <row r="56" spans="1:46" ht="12.75" customHeight="1">
      <c r="A56" s="39" t="s">
        <v>1036</v>
      </c>
      <c r="B56" s="39" t="s">
        <v>1027</v>
      </c>
      <c r="C56" s="39">
        <v>406017</v>
      </c>
      <c r="D56" s="39" t="s">
        <v>442</v>
      </c>
      <c r="E56" s="39" t="s">
        <v>1178</v>
      </c>
      <c r="F56" s="39" t="s">
        <v>621</v>
      </c>
      <c r="G56" s="39" t="s">
        <v>623</v>
      </c>
      <c r="H56" s="39"/>
      <c r="I56" s="39" t="s">
        <v>623</v>
      </c>
      <c r="J56" s="39"/>
      <c r="K56" s="39" t="s">
        <v>1037</v>
      </c>
      <c r="L56" s="39" t="s">
        <v>1038</v>
      </c>
      <c r="M56" s="39" t="s">
        <v>625</v>
      </c>
      <c r="N56" s="39"/>
      <c r="O56" s="39">
        <v>298</v>
      </c>
      <c r="P56" s="40">
        <v>45453</v>
      </c>
      <c r="Q56" s="39" t="s">
        <v>627</v>
      </c>
      <c r="R56" s="39" t="s">
        <v>1030</v>
      </c>
      <c r="S56" s="39" t="s">
        <v>1179</v>
      </c>
      <c r="T56" s="39" t="s">
        <v>1039</v>
      </c>
      <c r="U56" s="39"/>
      <c r="V56" s="39"/>
      <c r="W56" s="39"/>
      <c r="X56" s="39" t="s">
        <v>1040</v>
      </c>
      <c r="Y56" s="39" t="s">
        <v>656</v>
      </c>
      <c r="Z56" s="41" t="s">
        <v>1034</v>
      </c>
      <c r="AA56" s="1" t="s">
        <v>1041</v>
      </c>
      <c r="AB56" s="1">
        <v>1</v>
      </c>
      <c r="AC56" s="31"/>
      <c r="AD56"/>
      <c r="AK56" t="s">
        <v>642</v>
      </c>
      <c r="AL56" t="s">
        <v>642</v>
      </c>
      <c r="AM56" t="s">
        <v>642</v>
      </c>
      <c r="AN56" t="s">
        <v>642</v>
      </c>
      <c r="AO56" t="s">
        <v>642</v>
      </c>
      <c r="AP56" t="s">
        <v>642</v>
      </c>
      <c r="AQ56" t="s">
        <v>642</v>
      </c>
      <c r="AR56" t="s">
        <v>642</v>
      </c>
      <c r="AS56" t="s">
        <v>642</v>
      </c>
      <c r="AT56" t="s">
        <v>642</v>
      </c>
    </row>
    <row r="57" spans="1:46" ht="12.75" customHeight="1">
      <c r="A57" s="39" t="s">
        <v>1042</v>
      </c>
      <c r="B57" s="39" t="s">
        <v>1027</v>
      </c>
      <c r="C57" s="39">
        <v>408170</v>
      </c>
      <c r="D57" s="39" t="s">
        <v>519</v>
      </c>
      <c r="E57" s="39" t="s">
        <v>1180</v>
      </c>
      <c r="F57" s="39" t="s">
        <v>621</v>
      </c>
      <c r="G57" s="39" t="s">
        <v>623</v>
      </c>
      <c r="H57" s="39"/>
      <c r="I57" s="39" t="s">
        <v>623</v>
      </c>
      <c r="J57" s="39"/>
      <c r="K57" s="39" t="s">
        <v>879</v>
      </c>
      <c r="L57" s="39" t="s">
        <v>1043</v>
      </c>
      <c r="M57" s="39" t="s">
        <v>625</v>
      </c>
      <c r="N57" s="39"/>
      <c r="O57" s="39">
        <v>381</v>
      </c>
      <c r="P57" s="40">
        <v>45453</v>
      </c>
      <c r="Q57" s="39" t="s">
        <v>627</v>
      </c>
      <c r="R57" s="39" t="s">
        <v>1030</v>
      </c>
      <c r="S57" s="39" t="s">
        <v>1044</v>
      </c>
      <c r="T57" s="39" t="s">
        <v>1045</v>
      </c>
      <c r="U57" s="39"/>
      <c r="V57" s="39"/>
      <c r="W57" s="39" t="s">
        <v>879</v>
      </c>
      <c r="X57" s="39" t="s">
        <v>1046</v>
      </c>
      <c r="Y57" s="39" t="s">
        <v>901</v>
      </c>
      <c r="Z57" s="41" t="s">
        <v>1034</v>
      </c>
      <c r="AA57" s="1" t="s">
        <v>1047</v>
      </c>
      <c r="AB57" s="1">
        <v>1</v>
      </c>
      <c r="AC57" s="31"/>
      <c r="AD57"/>
      <c r="AK57" t="s">
        <v>642</v>
      </c>
      <c r="AL57" t="s">
        <v>642</v>
      </c>
      <c r="AM57" t="s">
        <v>642</v>
      </c>
      <c r="AN57" t="s">
        <v>642</v>
      </c>
      <c r="AO57" t="s">
        <v>642</v>
      </c>
      <c r="AP57" t="s">
        <v>642</v>
      </c>
      <c r="AQ57" t="s">
        <v>642</v>
      </c>
      <c r="AR57" t="s">
        <v>642</v>
      </c>
      <c r="AS57" t="s">
        <v>642</v>
      </c>
      <c r="AT57" t="s">
        <v>642</v>
      </c>
    </row>
    <row r="58" spans="1:46" ht="12.75" customHeight="1">
      <c r="A58" s="39">
        <v>202405169896</v>
      </c>
      <c r="B58" s="39" t="s">
        <v>1027</v>
      </c>
      <c r="C58" s="39">
        <v>417315</v>
      </c>
      <c r="D58" s="39" t="s">
        <v>462</v>
      </c>
      <c r="E58" s="39" t="s">
        <v>1181</v>
      </c>
      <c r="F58" s="39" t="s">
        <v>621</v>
      </c>
      <c r="G58" s="39" t="s">
        <v>623</v>
      </c>
      <c r="H58" s="39"/>
      <c r="I58" s="39" t="s">
        <v>623</v>
      </c>
      <c r="J58" s="39"/>
      <c r="K58" s="39"/>
      <c r="L58" s="39" t="s">
        <v>1048</v>
      </c>
      <c r="M58" s="39" t="s">
        <v>625</v>
      </c>
      <c r="N58" s="39"/>
      <c r="O58" s="39">
        <v>293</v>
      </c>
      <c r="P58" s="40">
        <v>45453</v>
      </c>
      <c r="Q58" s="39" t="s">
        <v>627</v>
      </c>
      <c r="R58" s="39" t="s">
        <v>1030</v>
      </c>
      <c r="S58" s="39" t="s">
        <v>1049</v>
      </c>
      <c r="T58" s="39" t="s">
        <v>1050</v>
      </c>
      <c r="U58" s="39"/>
      <c r="V58" s="39"/>
      <c r="W58" s="39"/>
      <c r="X58" s="39" t="s">
        <v>1051</v>
      </c>
      <c r="Y58" s="39" t="s">
        <v>656</v>
      </c>
      <c r="Z58" s="41" t="s">
        <v>1034</v>
      </c>
      <c r="AA58" s="1" t="s">
        <v>1052</v>
      </c>
      <c r="AB58" s="1">
        <v>1</v>
      </c>
      <c r="AC58" s="31"/>
      <c r="AD58"/>
    </row>
    <row r="59" spans="1:46" ht="12.75" customHeight="1">
      <c r="A59" s="39" t="s">
        <v>1053</v>
      </c>
      <c r="B59" s="39" t="s">
        <v>1027</v>
      </c>
      <c r="C59" s="39">
        <v>414677</v>
      </c>
      <c r="D59" s="39" t="s">
        <v>1054</v>
      </c>
      <c r="E59" s="39" t="s">
        <v>1182</v>
      </c>
      <c r="F59" s="39" t="s">
        <v>621</v>
      </c>
      <c r="G59" s="39" t="s">
        <v>622</v>
      </c>
      <c r="H59" s="39">
        <v>72</v>
      </c>
      <c r="I59" s="39" t="s">
        <v>623</v>
      </c>
      <c r="J59" s="39"/>
      <c r="K59" s="39" t="s">
        <v>1055</v>
      </c>
      <c r="L59" s="39" t="s">
        <v>1056</v>
      </c>
      <c r="M59" s="39" t="s">
        <v>625</v>
      </c>
      <c r="N59" s="39"/>
      <c r="O59" s="39">
        <v>404</v>
      </c>
      <c r="P59" s="40">
        <v>45453</v>
      </c>
      <c r="Q59" s="39" t="s">
        <v>627</v>
      </c>
      <c r="R59" s="39" t="s">
        <v>1030</v>
      </c>
      <c r="S59" s="39" t="s">
        <v>1057</v>
      </c>
      <c r="T59" s="39" t="s">
        <v>1058</v>
      </c>
      <c r="U59" s="39"/>
      <c r="V59" s="39"/>
      <c r="W59" s="39"/>
      <c r="X59" s="39" t="s">
        <v>1059</v>
      </c>
      <c r="Y59" s="39" t="s">
        <v>824</v>
      </c>
      <c r="Z59" s="41" t="s">
        <v>1034</v>
      </c>
      <c r="AA59" s="1" t="s">
        <v>1060</v>
      </c>
      <c r="AB59" s="1">
        <v>1</v>
      </c>
      <c r="AC59" s="31"/>
      <c r="AD59"/>
    </row>
    <row r="60" spans="1:46" ht="12.75" customHeight="1">
      <c r="A60" s="39" t="s">
        <v>1061</v>
      </c>
      <c r="B60" s="39" t="s">
        <v>1027</v>
      </c>
      <c r="C60" s="39">
        <v>410144</v>
      </c>
      <c r="D60" s="39" t="s">
        <v>1062</v>
      </c>
      <c r="E60" s="39" t="s">
        <v>1183</v>
      </c>
      <c r="F60" s="39" t="s">
        <v>621</v>
      </c>
      <c r="G60" s="39" t="s">
        <v>622</v>
      </c>
      <c r="H60" s="39">
        <v>85</v>
      </c>
      <c r="I60" s="39" t="s">
        <v>622</v>
      </c>
      <c r="J60" s="39">
        <v>47</v>
      </c>
      <c r="K60" s="39"/>
      <c r="L60" s="39" t="s">
        <v>1063</v>
      </c>
      <c r="M60" s="39" t="s">
        <v>625</v>
      </c>
      <c r="N60" s="39"/>
      <c r="O60" s="39">
        <v>490</v>
      </c>
      <c r="P60" s="40">
        <v>45453</v>
      </c>
      <c r="Q60" s="39" t="s">
        <v>627</v>
      </c>
      <c r="R60" s="39" t="s">
        <v>1030</v>
      </c>
      <c r="S60" s="39" t="s">
        <v>1184</v>
      </c>
      <c r="T60" s="39" t="s">
        <v>1064</v>
      </c>
      <c r="U60" s="39"/>
      <c r="V60" s="39"/>
      <c r="W60" s="39"/>
      <c r="X60" s="39" t="s">
        <v>1065</v>
      </c>
      <c r="Y60" s="39" t="s">
        <v>1066</v>
      </c>
      <c r="Z60" s="41" t="s">
        <v>1034</v>
      </c>
      <c r="AA60" s="1" t="s">
        <v>1067</v>
      </c>
      <c r="AB60" s="1">
        <v>1</v>
      </c>
      <c r="AC60" s="31"/>
      <c r="AD60"/>
    </row>
    <row r="61" spans="1:46" ht="12.75" customHeight="1">
      <c r="A61" s="39" t="s">
        <v>1068</v>
      </c>
      <c r="B61" s="39" t="s">
        <v>1027</v>
      </c>
      <c r="C61" s="39">
        <v>416644</v>
      </c>
      <c r="D61" s="39" t="s">
        <v>1069</v>
      </c>
      <c r="E61" s="39" t="s">
        <v>1185</v>
      </c>
      <c r="F61" s="39" t="s">
        <v>621</v>
      </c>
      <c r="G61" s="39" t="s">
        <v>622</v>
      </c>
      <c r="H61" s="39">
        <v>55</v>
      </c>
      <c r="I61" s="39" t="s">
        <v>623</v>
      </c>
      <c r="J61" s="39"/>
      <c r="K61" s="39" t="s">
        <v>1070</v>
      </c>
      <c r="L61" s="39" t="s">
        <v>1071</v>
      </c>
      <c r="M61" s="39" t="s">
        <v>625</v>
      </c>
      <c r="N61" s="39"/>
      <c r="O61" s="39">
        <v>308</v>
      </c>
      <c r="P61" s="40">
        <v>45453</v>
      </c>
      <c r="Q61" s="39" t="s">
        <v>627</v>
      </c>
      <c r="R61" s="39" t="s">
        <v>1030</v>
      </c>
      <c r="S61" s="39" t="s">
        <v>1072</v>
      </c>
      <c r="T61" s="39" t="s">
        <v>1073</v>
      </c>
      <c r="U61" s="39"/>
      <c r="V61" s="39"/>
      <c r="W61" s="39"/>
      <c r="X61" s="39" t="s">
        <v>1074</v>
      </c>
      <c r="Y61" s="39" t="s">
        <v>656</v>
      </c>
      <c r="Z61" s="41" t="s">
        <v>1034</v>
      </c>
      <c r="AA61" s="1" t="s">
        <v>1075</v>
      </c>
      <c r="AB61" s="1">
        <v>1</v>
      </c>
      <c r="AC61" s="31"/>
      <c r="AD61"/>
      <c r="AK61" t="s">
        <v>642</v>
      </c>
      <c r="AL61" t="s">
        <v>642</v>
      </c>
      <c r="AM61" t="s">
        <v>642</v>
      </c>
      <c r="AN61" t="s">
        <v>642</v>
      </c>
      <c r="AO61" t="s">
        <v>642</v>
      </c>
      <c r="AP61" t="s">
        <v>642</v>
      </c>
      <c r="AQ61" t="s">
        <v>642</v>
      </c>
      <c r="AR61" t="s">
        <v>642</v>
      </c>
      <c r="AS61" t="s">
        <v>642</v>
      </c>
      <c r="AT61" t="s">
        <v>642</v>
      </c>
    </row>
    <row r="62" spans="1:46" ht="12.75" customHeight="1">
      <c r="A62" s="39" t="s">
        <v>1076</v>
      </c>
      <c r="B62" s="39" t="s">
        <v>1077</v>
      </c>
      <c r="C62" s="39">
        <v>396914</v>
      </c>
      <c r="D62" s="39" t="s">
        <v>690</v>
      </c>
      <c r="E62" s="39" t="s">
        <v>1078</v>
      </c>
      <c r="F62" s="39" t="s">
        <v>621</v>
      </c>
      <c r="G62" s="39" t="s">
        <v>622</v>
      </c>
      <c r="H62" s="39">
        <v>50</v>
      </c>
      <c r="I62" s="39" t="s">
        <v>623</v>
      </c>
      <c r="J62" s="39"/>
      <c r="K62" s="39"/>
      <c r="L62" s="39" t="s">
        <v>1079</v>
      </c>
      <c r="M62" s="39" t="s">
        <v>625</v>
      </c>
      <c r="N62" s="39"/>
      <c r="O62" s="39">
        <v>366</v>
      </c>
      <c r="P62" s="40">
        <v>45453</v>
      </c>
      <c r="Q62" s="39" t="s">
        <v>627</v>
      </c>
      <c r="R62" s="39" t="s">
        <v>1080</v>
      </c>
      <c r="S62" s="39" t="s">
        <v>1186</v>
      </c>
      <c r="T62" s="39" t="s">
        <v>1081</v>
      </c>
      <c r="U62" s="39"/>
      <c r="V62" s="39"/>
      <c r="W62" s="39"/>
      <c r="X62" s="39" t="s">
        <v>1082</v>
      </c>
      <c r="Y62" s="39" t="s">
        <v>695</v>
      </c>
      <c r="Z62" s="41" t="s">
        <v>789</v>
      </c>
      <c r="AA62" s="1" t="s">
        <v>1083</v>
      </c>
      <c r="AB62" s="1">
        <v>1</v>
      </c>
      <c r="AC62" s="31"/>
      <c r="AD62"/>
      <c r="AK62" t="s">
        <v>642</v>
      </c>
      <c r="AL62" t="s">
        <v>642</v>
      </c>
      <c r="AM62" t="s">
        <v>642</v>
      </c>
      <c r="AN62" t="s">
        <v>642</v>
      </c>
      <c r="AO62" t="s">
        <v>642</v>
      </c>
      <c r="AP62" t="s">
        <v>642</v>
      </c>
      <c r="AQ62" t="s">
        <v>642</v>
      </c>
      <c r="AR62" t="s">
        <v>642</v>
      </c>
      <c r="AS62" t="s">
        <v>642</v>
      </c>
      <c r="AT62" t="s">
        <v>642</v>
      </c>
    </row>
    <row r="63" spans="1:46" ht="12.75" customHeight="1">
      <c r="A63" s="39" t="s">
        <v>1084</v>
      </c>
      <c r="B63" s="39" t="s">
        <v>1077</v>
      </c>
      <c r="C63" s="39">
        <v>405224</v>
      </c>
      <c r="D63" s="39" t="s">
        <v>40</v>
      </c>
      <c r="E63" s="39" t="s">
        <v>1187</v>
      </c>
      <c r="F63" s="39" t="s">
        <v>621</v>
      </c>
      <c r="G63" s="39" t="s">
        <v>623</v>
      </c>
      <c r="H63" s="39"/>
      <c r="I63" s="39" t="s">
        <v>623</v>
      </c>
      <c r="J63" s="39"/>
      <c r="K63" s="39" t="s">
        <v>678</v>
      </c>
      <c r="L63" s="39" t="s">
        <v>1085</v>
      </c>
      <c r="M63" s="39" t="s">
        <v>645</v>
      </c>
      <c r="N63" s="39"/>
      <c r="O63" s="39">
        <v>205</v>
      </c>
      <c r="P63" s="40">
        <v>45453</v>
      </c>
      <c r="Q63" s="39" t="s">
        <v>627</v>
      </c>
      <c r="R63" s="39" t="s">
        <v>1080</v>
      </c>
      <c r="S63" s="39" t="s">
        <v>1086</v>
      </c>
      <c r="T63" s="39" t="s">
        <v>1087</v>
      </c>
      <c r="U63" s="39"/>
      <c r="V63" s="39"/>
      <c r="W63" s="39" t="s">
        <v>1188</v>
      </c>
      <c r="X63" s="39" t="s">
        <v>1088</v>
      </c>
      <c r="Y63" s="39" t="s">
        <v>656</v>
      </c>
      <c r="Z63" s="41" t="s">
        <v>789</v>
      </c>
      <c r="AA63" s="1" t="s">
        <v>1089</v>
      </c>
      <c r="AB63" s="1">
        <v>1</v>
      </c>
      <c r="AC63" s="31"/>
      <c r="AD63"/>
      <c r="AK63" t="s">
        <v>642</v>
      </c>
      <c r="AL63" t="s">
        <v>642</v>
      </c>
      <c r="AM63" t="s">
        <v>642</v>
      </c>
      <c r="AN63" t="s">
        <v>642</v>
      </c>
      <c r="AO63" t="s">
        <v>642</v>
      </c>
      <c r="AP63" t="s">
        <v>642</v>
      </c>
      <c r="AQ63" t="s">
        <v>642</v>
      </c>
      <c r="AR63" t="s">
        <v>642</v>
      </c>
      <c r="AS63" t="s">
        <v>642</v>
      </c>
      <c r="AT63" t="s">
        <v>642</v>
      </c>
    </row>
    <row r="64" spans="1:46" ht="12.75" customHeight="1">
      <c r="A64" s="39" t="s">
        <v>1090</v>
      </c>
      <c r="B64" s="39" t="s">
        <v>1091</v>
      </c>
      <c r="C64" s="39">
        <v>370519</v>
      </c>
      <c r="D64" s="39" t="s">
        <v>1092</v>
      </c>
      <c r="E64" s="39" t="s">
        <v>1093</v>
      </c>
      <c r="F64" s="39" t="s">
        <v>621</v>
      </c>
      <c r="G64" s="39" t="s">
        <v>623</v>
      </c>
      <c r="H64" s="39"/>
      <c r="I64" s="39" t="s">
        <v>623</v>
      </c>
      <c r="J64" s="39"/>
      <c r="K64" s="39"/>
      <c r="L64" s="39" t="s">
        <v>1094</v>
      </c>
      <c r="M64" s="39" t="s">
        <v>625</v>
      </c>
      <c r="N64" s="39"/>
      <c r="O64" s="39">
        <v>322</v>
      </c>
      <c r="P64" s="40">
        <v>45453</v>
      </c>
      <c r="Q64" s="39" t="s">
        <v>627</v>
      </c>
      <c r="R64" s="39" t="s">
        <v>1095</v>
      </c>
      <c r="S64" s="39" t="s">
        <v>1096</v>
      </c>
      <c r="T64" s="39" t="s">
        <v>1097</v>
      </c>
      <c r="U64" s="39" t="s">
        <v>1098</v>
      </c>
      <c r="V64" s="39" t="s">
        <v>1099</v>
      </c>
      <c r="W64" s="39"/>
      <c r="X64" s="39" t="s">
        <v>1100</v>
      </c>
      <c r="Y64" s="39" t="s">
        <v>664</v>
      </c>
      <c r="Z64" s="41" t="s">
        <v>1101</v>
      </c>
      <c r="AA64" s="1" t="s">
        <v>1102</v>
      </c>
      <c r="AB64" s="1">
        <v>1</v>
      </c>
      <c r="AC64" s="31"/>
      <c r="AD64"/>
      <c r="AK64" t="s">
        <v>642</v>
      </c>
      <c r="AL64" t="s">
        <v>642</v>
      </c>
      <c r="AM64" t="s">
        <v>642</v>
      </c>
      <c r="AN64" t="s">
        <v>642</v>
      </c>
      <c r="AO64" t="s">
        <v>642</v>
      </c>
      <c r="AP64" t="s">
        <v>642</v>
      </c>
      <c r="AQ64" t="s">
        <v>642</v>
      </c>
      <c r="AR64" t="s">
        <v>642</v>
      </c>
      <c r="AS64" t="s">
        <v>642</v>
      </c>
      <c r="AT64" t="s">
        <v>642</v>
      </c>
    </row>
    <row r="65" spans="1:46" ht="12.75" customHeight="1">
      <c r="A65" s="39">
        <v>202405077592</v>
      </c>
      <c r="B65" s="39" t="s">
        <v>1091</v>
      </c>
      <c r="C65" s="39">
        <v>414974</v>
      </c>
      <c r="D65" s="39" t="s">
        <v>690</v>
      </c>
      <c r="E65" s="39" t="s">
        <v>1189</v>
      </c>
      <c r="F65" s="39" t="s">
        <v>621</v>
      </c>
      <c r="G65" s="39" t="s">
        <v>622</v>
      </c>
      <c r="H65" s="39">
        <v>90</v>
      </c>
      <c r="I65" s="39" t="s">
        <v>623</v>
      </c>
      <c r="J65" s="39"/>
      <c r="K65" s="39" t="s">
        <v>1103</v>
      </c>
      <c r="L65" s="39" t="s">
        <v>1104</v>
      </c>
      <c r="M65" s="39" t="s">
        <v>625</v>
      </c>
      <c r="N65" s="39"/>
      <c r="O65" s="39">
        <v>552</v>
      </c>
      <c r="P65" s="40">
        <v>45453</v>
      </c>
      <c r="Q65" s="39" t="s">
        <v>627</v>
      </c>
      <c r="R65" s="39" t="s">
        <v>1095</v>
      </c>
      <c r="S65" s="39" t="s">
        <v>1190</v>
      </c>
      <c r="T65" s="39" t="s">
        <v>1105</v>
      </c>
      <c r="U65" s="39"/>
      <c r="V65" s="39"/>
      <c r="W65" s="39"/>
      <c r="X65" s="39" t="s">
        <v>1106</v>
      </c>
      <c r="Y65" s="39" t="s">
        <v>1107</v>
      </c>
      <c r="Z65" s="41" t="s">
        <v>1101</v>
      </c>
      <c r="AA65" s="1" t="s">
        <v>1108</v>
      </c>
      <c r="AB65" s="1">
        <v>1</v>
      </c>
      <c r="AC65" s="31"/>
      <c r="AD65"/>
      <c r="AK65" t="s">
        <v>642</v>
      </c>
      <c r="AL65" t="s">
        <v>642</v>
      </c>
      <c r="AM65" t="s">
        <v>642</v>
      </c>
      <c r="AN65" t="s">
        <v>642</v>
      </c>
      <c r="AO65" t="s">
        <v>642</v>
      </c>
      <c r="AP65" t="s">
        <v>642</v>
      </c>
      <c r="AQ65" t="s">
        <v>642</v>
      </c>
      <c r="AR65" t="s">
        <v>642</v>
      </c>
      <c r="AS65" t="s">
        <v>642</v>
      </c>
      <c r="AT65" t="s">
        <v>642</v>
      </c>
    </row>
    <row r="66" spans="1:46" ht="12.75" customHeight="1">
      <c r="A66" s="39" t="s">
        <v>1109</v>
      </c>
      <c r="B66" s="39" t="s">
        <v>1091</v>
      </c>
      <c r="C66" s="39">
        <v>364963</v>
      </c>
      <c r="D66" s="39" t="s">
        <v>1092</v>
      </c>
      <c r="E66" s="39" t="s">
        <v>1110</v>
      </c>
      <c r="F66" s="39" t="s">
        <v>621</v>
      </c>
      <c r="G66" s="39" t="s">
        <v>623</v>
      </c>
      <c r="H66" s="39"/>
      <c r="I66" s="39" t="s">
        <v>623</v>
      </c>
      <c r="J66" s="39"/>
      <c r="K66" s="39"/>
      <c r="L66" s="39" t="s">
        <v>1111</v>
      </c>
      <c r="M66" s="39" t="s">
        <v>625</v>
      </c>
      <c r="N66" s="39"/>
      <c r="O66" s="39">
        <v>326</v>
      </c>
      <c r="P66" s="40">
        <v>45453</v>
      </c>
      <c r="Q66" s="39" t="s">
        <v>627</v>
      </c>
      <c r="R66" s="39" t="s">
        <v>1095</v>
      </c>
      <c r="S66" s="39" t="s">
        <v>1112</v>
      </c>
      <c r="T66" s="39" t="s">
        <v>1113</v>
      </c>
      <c r="U66" s="39" t="s">
        <v>1114</v>
      </c>
      <c r="V66" s="39" t="s">
        <v>1115</v>
      </c>
      <c r="W66" s="39"/>
      <c r="X66" s="39" t="s">
        <v>1116</v>
      </c>
      <c r="Y66" s="39" t="s">
        <v>664</v>
      </c>
      <c r="Z66" s="41" t="s">
        <v>1101</v>
      </c>
      <c r="AA66" s="1" t="s">
        <v>1117</v>
      </c>
      <c r="AB66" s="1">
        <v>1</v>
      </c>
      <c r="AC66" s="31"/>
      <c r="AD66"/>
      <c r="AK66" t="s">
        <v>642</v>
      </c>
      <c r="AL66" t="s">
        <v>642</v>
      </c>
      <c r="AM66" t="s">
        <v>642</v>
      </c>
      <c r="AN66" t="s">
        <v>642</v>
      </c>
      <c r="AO66" t="s">
        <v>642</v>
      </c>
      <c r="AP66" t="s">
        <v>642</v>
      </c>
      <c r="AQ66" t="s">
        <v>642</v>
      </c>
      <c r="AR66" t="s">
        <v>642</v>
      </c>
      <c r="AS66" t="s">
        <v>642</v>
      </c>
      <c r="AT66" t="s">
        <v>642</v>
      </c>
    </row>
    <row r="67" spans="1:46" ht="12.75" customHeight="1">
      <c r="A67" s="39">
        <v>202404296844</v>
      </c>
      <c r="B67" s="39" t="s">
        <v>1091</v>
      </c>
      <c r="C67" s="39">
        <v>414332</v>
      </c>
      <c r="D67" s="39" t="s">
        <v>690</v>
      </c>
      <c r="E67" s="39" t="s">
        <v>1191</v>
      </c>
      <c r="F67" s="39" t="s">
        <v>621</v>
      </c>
      <c r="G67" s="39" t="s">
        <v>622</v>
      </c>
      <c r="H67" s="39">
        <v>60</v>
      </c>
      <c r="I67" s="39" t="s">
        <v>623</v>
      </c>
      <c r="J67" s="39"/>
      <c r="K67" s="39"/>
      <c r="L67" s="39" t="s">
        <v>1118</v>
      </c>
      <c r="M67" s="39" t="s">
        <v>625</v>
      </c>
      <c r="N67" s="39"/>
      <c r="O67" s="39">
        <v>382</v>
      </c>
      <c r="P67" s="40">
        <v>45453</v>
      </c>
      <c r="Q67" s="39" t="s">
        <v>627</v>
      </c>
      <c r="R67" s="39" t="s">
        <v>1095</v>
      </c>
      <c r="S67" s="39" t="s">
        <v>1192</v>
      </c>
      <c r="T67" s="39" t="s">
        <v>1119</v>
      </c>
      <c r="U67" s="39"/>
      <c r="V67" s="39"/>
      <c r="W67" s="39"/>
      <c r="X67" s="39" t="s">
        <v>1120</v>
      </c>
      <c r="Y67" s="39" t="s">
        <v>1107</v>
      </c>
      <c r="Z67" s="41" t="s">
        <v>1101</v>
      </c>
      <c r="AA67" s="1" t="s">
        <v>1121</v>
      </c>
      <c r="AB67" s="1">
        <v>1</v>
      </c>
      <c r="AC67" s="31"/>
      <c r="AD67"/>
      <c r="AK67" t="s">
        <v>642</v>
      </c>
      <c r="AL67" t="s">
        <v>642</v>
      </c>
      <c r="AM67" t="s">
        <v>642</v>
      </c>
      <c r="AN67" t="s">
        <v>642</v>
      </c>
      <c r="AO67" t="s">
        <v>642</v>
      </c>
      <c r="AP67" t="s">
        <v>642</v>
      </c>
      <c r="AQ67" t="s">
        <v>642</v>
      </c>
      <c r="AR67" t="s">
        <v>642</v>
      </c>
      <c r="AS67" t="s">
        <v>642</v>
      </c>
      <c r="AT67" t="s">
        <v>642</v>
      </c>
    </row>
    <row r="68" spans="1:46" ht="12.75" customHeight="1">
      <c r="A68" s="39">
        <v>202404124107</v>
      </c>
      <c r="B68" s="39" t="s">
        <v>1091</v>
      </c>
      <c r="C68" s="39">
        <v>411682</v>
      </c>
      <c r="D68" s="39" t="s">
        <v>1122</v>
      </c>
      <c r="E68" s="39" t="s">
        <v>1193</v>
      </c>
      <c r="F68" s="39" t="s">
        <v>621</v>
      </c>
      <c r="G68" s="39" t="s">
        <v>623</v>
      </c>
      <c r="H68" s="39"/>
      <c r="I68" s="39" t="s">
        <v>623</v>
      </c>
      <c r="J68" s="39"/>
      <c r="K68" s="39" t="s">
        <v>1123</v>
      </c>
      <c r="L68" s="39" t="s">
        <v>1124</v>
      </c>
      <c r="M68" s="39" t="s">
        <v>625</v>
      </c>
      <c r="N68" s="39"/>
      <c r="O68" s="39">
        <v>286</v>
      </c>
      <c r="P68" s="40">
        <v>45453</v>
      </c>
      <c r="Q68" s="39" t="s">
        <v>627</v>
      </c>
      <c r="R68" s="39" t="s">
        <v>1095</v>
      </c>
      <c r="S68" s="39" t="s">
        <v>1125</v>
      </c>
      <c r="T68" s="39" t="s">
        <v>1126</v>
      </c>
      <c r="U68" s="39"/>
      <c r="V68" s="39"/>
      <c r="W68" s="39" t="s">
        <v>1127</v>
      </c>
      <c r="X68" s="39" t="s">
        <v>1128</v>
      </c>
      <c r="Y68" s="39" t="s">
        <v>824</v>
      </c>
      <c r="Z68" s="41" t="s">
        <v>1101</v>
      </c>
      <c r="AA68" s="1" t="s">
        <v>1129</v>
      </c>
      <c r="AB68" s="1">
        <v>1</v>
      </c>
      <c r="AC68" s="31"/>
      <c r="AD68"/>
    </row>
    <row r="69" spans="1:46" ht="12.75" customHeight="1">
      <c r="A69" s="39" t="s">
        <v>1130</v>
      </c>
      <c r="B69" s="39" t="s">
        <v>1091</v>
      </c>
      <c r="C69" s="39">
        <v>400728</v>
      </c>
      <c r="D69" s="39" t="s">
        <v>1122</v>
      </c>
      <c r="E69" s="39" t="s">
        <v>1194</v>
      </c>
      <c r="F69" s="39" t="s">
        <v>621</v>
      </c>
      <c r="G69" s="39" t="s">
        <v>623</v>
      </c>
      <c r="H69" s="39"/>
      <c r="I69" s="39" t="s">
        <v>623</v>
      </c>
      <c r="J69" s="39"/>
      <c r="K69" s="39" t="s">
        <v>1131</v>
      </c>
      <c r="L69" s="39" t="s">
        <v>1132</v>
      </c>
      <c r="M69" s="39" t="s">
        <v>625</v>
      </c>
      <c r="N69" s="39"/>
      <c r="O69" s="39">
        <v>315</v>
      </c>
      <c r="P69" s="40">
        <v>45453</v>
      </c>
      <c r="Q69" s="39" t="s">
        <v>627</v>
      </c>
      <c r="R69" s="39" t="s">
        <v>1095</v>
      </c>
      <c r="S69" s="39" t="s">
        <v>1133</v>
      </c>
      <c r="T69" s="39" t="s">
        <v>1134</v>
      </c>
      <c r="U69" s="39"/>
      <c r="V69" s="39"/>
      <c r="W69" s="39" t="s">
        <v>1135</v>
      </c>
      <c r="X69" s="39" t="s">
        <v>1136</v>
      </c>
      <c r="Y69" s="39" t="s">
        <v>824</v>
      </c>
      <c r="Z69" s="41" t="s">
        <v>1101</v>
      </c>
      <c r="AA69" s="1" t="s">
        <v>1137</v>
      </c>
      <c r="AB69" s="1">
        <v>1</v>
      </c>
      <c r="AC69" s="31"/>
      <c r="AD69"/>
    </row>
    <row r="70" spans="1:46" ht="12.75" customHeight="1">
      <c r="A70" s="45"/>
      <c r="B70" s="45"/>
      <c r="C70" s="45"/>
      <c r="D70" s="45"/>
      <c r="E70" s="45"/>
      <c r="F70" s="45"/>
      <c r="G70" s="45"/>
      <c r="H70" s="45"/>
      <c r="I70" s="45"/>
      <c r="J70" s="45"/>
      <c r="K70" s="45"/>
      <c r="L70" s="46"/>
      <c r="M70" s="45"/>
      <c r="N70" s="45"/>
      <c r="O70" s="45"/>
      <c r="P70" s="47"/>
      <c r="Q70" s="45"/>
      <c r="R70" s="45"/>
      <c r="S70" s="45"/>
      <c r="T70" s="45"/>
      <c r="U70" s="45"/>
      <c r="V70" s="45"/>
      <c r="W70" s="45"/>
      <c r="X70" s="45"/>
      <c r="Y70" s="45"/>
      <c r="Z70" s="48" t="s">
        <v>642</v>
      </c>
      <c r="AA70" s="45" t="s">
        <v>642</v>
      </c>
      <c r="AB70" s="45">
        <v>0</v>
      </c>
      <c r="AD70"/>
    </row>
    <row r="71" spans="1:46" ht="12.75" customHeight="1">
      <c r="A71" s="45"/>
      <c r="B71" s="45"/>
      <c r="C71" s="45"/>
      <c r="D71" s="45"/>
      <c r="E71" s="45"/>
      <c r="F71" s="45"/>
      <c r="G71" s="45"/>
      <c r="H71" s="45"/>
      <c r="I71" s="45"/>
      <c r="J71" s="45"/>
      <c r="K71" s="45"/>
      <c r="L71" s="46"/>
      <c r="M71" s="45"/>
      <c r="N71" s="45"/>
      <c r="O71" s="45"/>
      <c r="P71" s="47"/>
      <c r="Q71" s="45"/>
      <c r="R71" s="45"/>
      <c r="S71" s="45"/>
      <c r="T71" s="45"/>
      <c r="U71" s="45"/>
      <c r="V71" s="45"/>
      <c r="W71" s="45"/>
      <c r="X71" s="45"/>
      <c r="Y71" s="45"/>
      <c r="Z71" s="48" t="s">
        <v>642</v>
      </c>
      <c r="AA71" s="45" t="s">
        <v>642</v>
      </c>
      <c r="AB71" s="45">
        <v>0</v>
      </c>
      <c r="AD71"/>
    </row>
    <row r="72" spans="1:46" ht="12.75" customHeight="1">
      <c r="A72" s="45"/>
      <c r="B72" s="45"/>
      <c r="C72" s="45"/>
      <c r="D72" s="45"/>
      <c r="E72" s="45"/>
      <c r="F72" s="45"/>
      <c r="G72" s="45"/>
      <c r="H72" s="45"/>
      <c r="I72" s="45"/>
      <c r="J72" s="45"/>
      <c r="K72" s="45"/>
      <c r="L72" s="46"/>
      <c r="M72" s="45"/>
      <c r="N72" s="45"/>
      <c r="O72" s="45"/>
      <c r="P72" s="47"/>
      <c r="Q72" s="45"/>
      <c r="R72" s="45"/>
      <c r="S72" s="45"/>
      <c r="T72" s="45"/>
      <c r="U72" s="45"/>
      <c r="V72" s="45"/>
      <c r="W72" s="45"/>
      <c r="X72" s="45"/>
      <c r="Y72" s="45"/>
      <c r="Z72" s="48" t="s">
        <v>642</v>
      </c>
      <c r="AA72" s="45" t="s">
        <v>642</v>
      </c>
      <c r="AB72" s="45">
        <v>0</v>
      </c>
      <c r="AD72"/>
    </row>
    <row r="73" spans="1:46" ht="12.75" customHeight="1">
      <c r="A73" s="45"/>
      <c r="B73" s="45"/>
      <c r="C73" s="45"/>
      <c r="D73" s="45"/>
      <c r="E73" s="45"/>
      <c r="F73" s="45"/>
      <c r="G73" s="45"/>
      <c r="H73" s="45"/>
      <c r="I73" s="45"/>
      <c r="J73" s="45"/>
      <c r="K73" s="45"/>
      <c r="L73" s="46"/>
      <c r="M73" s="45"/>
      <c r="N73" s="45"/>
      <c r="O73" s="45"/>
      <c r="P73" s="47"/>
      <c r="Q73" s="45"/>
      <c r="R73" s="45"/>
      <c r="S73" s="45"/>
      <c r="T73" s="45"/>
      <c r="U73" s="45"/>
      <c r="V73" s="45"/>
      <c r="W73" s="45"/>
      <c r="X73" s="45"/>
      <c r="Y73" s="45"/>
      <c r="Z73" s="48" t="s">
        <v>642</v>
      </c>
      <c r="AA73" s="45" t="s">
        <v>642</v>
      </c>
      <c r="AB73" s="45">
        <v>0</v>
      </c>
      <c r="AD73"/>
    </row>
    <row r="74" spans="1:46" ht="12.75" customHeight="1">
      <c r="A74" s="45"/>
      <c r="B74" s="45"/>
      <c r="C74" s="45"/>
      <c r="D74" s="45"/>
      <c r="E74" s="45"/>
      <c r="F74" s="45"/>
      <c r="G74" s="45"/>
      <c r="H74" s="45"/>
      <c r="I74" s="45"/>
      <c r="J74" s="45"/>
      <c r="K74" s="45"/>
      <c r="L74" s="46"/>
      <c r="M74" s="45"/>
      <c r="N74" s="45"/>
      <c r="O74" s="45"/>
      <c r="P74" s="47"/>
      <c r="Q74" s="45"/>
      <c r="R74" s="45"/>
      <c r="S74" s="45"/>
      <c r="T74" s="45"/>
      <c r="U74" s="45"/>
      <c r="V74" s="45"/>
      <c r="W74" s="45"/>
      <c r="X74" s="45"/>
      <c r="Y74" s="45"/>
      <c r="Z74" s="48" t="s">
        <v>642</v>
      </c>
      <c r="AA74" s="45" t="s">
        <v>642</v>
      </c>
      <c r="AB74" s="45">
        <v>0</v>
      </c>
      <c r="AD74"/>
    </row>
    <row r="75" spans="1:46" ht="12.75" customHeight="1">
      <c r="A75" s="45"/>
      <c r="B75" s="45"/>
      <c r="C75" s="45"/>
      <c r="D75" s="45"/>
      <c r="E75" s="45"/>
      <c r="F75" s="45"/>
      <c r="G75" s="45"/>
      <c r="H75" s="45"/>
      <c r="I75" s="45"/>
      <c r="J75" s="45"/>
      <c r="K75" s="45"/>
      <c r="L75" s="46"/>
      <c r="M75" s="45"/>
      <c r="N75" s="45"/>
      <c r="O75" s="45"/>
      <c r="P75" s="47"/>
      <c r="Q75" s="45"/>
      <c r="R75" s="45"/>
      <c r="S75" s="45"/>
      <c r="T75" s="45"/>
      <c r="U75" s="45"/>
      <c r="V75" s="45"/>
      <c r="W75" s="45"/>
      <c r="X75" s="45"/>
      <c r="Y75" s="45"/>
      <c r="Z75" s="48" t="s">
        <v>642</v>
      </c>
      <c r="AA75" s="45" t="s">
        <v>642</v>
      </c>
      <c r="AB75" s="45">
        <v>0</v>
      </c>
      <c r="AD75"/>
    </row>
    <row r="76" spans="1:46" ht="12.75" customHeight="1">
      <c r="A76" s="45"/>
      <c r="B76" s="45"/>
      <c r="C76" s="45"/>
      <c r="D76" s="45"/>
      <c r="E76" s="45"/>
      <c r="F76" s="45"/>
      <c r="G76" s="45"/>
      <c r="H76" s="45"/>
      <c r="I76" s="45"/>
      <c r="J76" s="45"/>
      <c r="K76" s="45"/>
      <c r="L76" s="46"/>
      <c r="M76" s="45"/>
      <c r="N76" s="45"/>
      <c r="O76" s="45"/>
      <c r="P76" s="47"/>
      <c r="Q76" s="45"/>
      <c r="R76" s="45"/>
      <c r="S76" s="45"/>
      <c r="T76" s="45"/>
      <c r="U76" s="45"/>
      <c r="V76" s="45"/>
      <c r="W76" s="45"/>
      <c r="X76" s="45"/>
      <c r="Y76" s="45"/>
      <c r="Z76" s="48" t="s">
        <v>642</v>
      </c>
      <c r="AA76" s="45" t="s">
        <v>642</v>
      </c>
      <c r="AB76" s="45">
        <v>0</v>
      </c>
      <c r="AD76"/>
    </row>
    <row r="77" spans="1:46" ht="12.75" customHeight="1">
      <c r="A77" s="45"/>
      <c r="B77" s="45"/>
      <c r="C77" s="45"/>
      <c r="D77" s="45"/>
      <c r="E77" s="45"/>
      <c r="F77" s="45"/>
      <c r="G77" s="45"/>
      <c r="H77" s="45"/>
      <c r="I77" s="45"/>
      <c r="J77" s="45"/>
      <c r="K77" s="45"/>
      <c r="L77" s="46"/>
      <c r="M77" s="45"/>
      <c r="N77" s="45"/>
      <c r="O77" s="45"/>
      <c r="P77" s="47"/>
      <c r="Q77" s="45"/>
      <c r="R77" s="45"/>
      <c r="S77" s="45"/>
      <c r="T77" s="45"/>
      <c r="U77" s="45"/>
      <c r="V77" s="45"/>
      <c r="W77" s="45"/>
      <c r="X77" s="45"/>
      <c r="Y77" s="45"/>
      <c r="Z77" s="48" t="s">
        <v>642</v>
      </c>
      <c r="AA77" s="45" t="s">
        <v>642</v>
      </c>
      <c r="AB77" s="45">
        <v>0</v>
      </c>
      <c r="AD77"/>
    </row>
    <row r="78" spans="1:46" ht="12.75" customHeight="1">
      <c r="A78" s="45"/>
      <c r="B78" s="45"/>
      <c r="C78" s="45"/>
      <c r="D78" s="45"/>
      <c r="E78" s="45"/>
      <c r="F78" s="45"/>
      <c r="G78" s="45"/>
      <c r="H78" s="45"/>
      <c r="I78" s="45"/>
      <c r="J78" s="45"/>
      <c r="K78" s="45"/>
      <c r="L78" s="46"/>
      <c r="M78" s="45"/>
      <c r="N78" s="45"/>
      <c r="O78" s="45"/>
      <c r="P78" s="47"/>
      <c r="Q78" s="45"/>
      <c r="R78" s="45"/>
      <c r="S78" s="45"/>
      <c r="T78" s="45"/>
      <c r="U78" s="45"/>
      <c r="V78" s="45"/>
      <c r="W78" s="45"/>
      <c r="X78" s="45"/>
      <c r="Y78" s="45"/>
      <c r="Z78" s="48" t="s">
        <v>642</v>
      </c>
      <c r="AA78" s="45" t="s">
        <v>642</v>
      </c>
      <c r="AB78" s="45">
        <v>0</v>
      </c>
      <c r="AD78"/>
    </row>
    <row r="79" spans="1:46" ht="12.75" customHeight="1">
      <c r="A79" s="45"/>
      <c r="B79" s="45"/>
      <c r="C79" s="45"/>
      <c r="D79" s="45"/>
      <c r="E79" s="45"/>
      <c r="F79" s="45"/>
      <c r="G79" s="45"/>
      <c r="H79" s="45"/>
      <c r="I79" s="45"/>
      <c r="J79" s="45"/>
      <c r="K79" s="45"/>
      <c r="L79" s="46"/>
      <c r="M79" s="45"/>
      <c r="N79" s="45"/>
      <c r="O79" s="45"/>
      <c r="P79" s="47"/>
      <c r="Q79" s="45"/>
      <c r="R79" s="45"/>
      <c r="S79" s="45"/>
      <c r="T79" s="45"/>
      <c r="U79" s="45"/>
      <c r="V79" s="45"/>
      <c r="W79" s="45"/>
      <c r="X79" s="45"/>
      <c r="Y79" s="45"/>
      <c r="Z79" s="48" t="s">
        <v>642</v>
      </c>
      <c r="AA79" s="45" t="s">
        <v>642</v>
      </c>
      <c r="AB79" s="45">
        <v>0</v>
      </c>
      <c r="AD79"/>
    </row>
    <row r="80" spans="1:46" ht="12.75" customHeight="1">
      <c r="A80" s="45"/>
      <c r="B80" s="45"/>
      <c r="C80" s="45"/>
      <c r="D80" s="45"/>
      <c r="E80" s="45"/>
      <c r="F80" s="45"/>
      <c r="G80" s="45"/>
      <c r="H80" s="45"/>
      <c r="I80" s="45"/>
      <c r="J80" s="45"/>
      <c r="K80" s="45"/>
      <c r="L80" s="46"/>
      <c r="M80" s="45"/>
      <c r="N80" s="45"/>
      <c r="O80" s="45"/>
      <c r="P80" s="47"/>
      <c r="Q80" s="45"/>
      <c r="R80" s="45"/>
      <c r="S80" s="45"/>
      <c r="T80" s="45"/>
      <c r="U80" s="45"/>
      <c r="V80" s="45"/>
      <c r="W80" s="45"/>
      <c r="X80" s="45"/>
      <c r="Y80" s="45"/>
      <c r="Z80" s="48" t="s">
        <v>642</v>
      </c>
      <c r="AA80" s="45" t="s">
        <v>642</v>
      </c>
      <c r="AB80" s="45">
        <v>0</v>
      </c>
      <c r="AD80"/>
    </row>
    <row r="81" spans="1:30" ht="12.75" customHeight="1">
      <c r="A81" s="45"/>
      <c r="B81" s="45"/>
      <c r="C81" s="45"/>
      <c r="D81" s="45"/>
      <c r="E81" s="45"/>
      <c r="F81" s="45"/>
      <c r="G81" s="45"/>
      <c r="H81" s="45"/>
      <c r="I81" s="45"/>
      <c r="J81" s="45"/>
      <c r="K81" s="45"/>
      <c r="L81" s="46"/>
      <c r="M81" s="45"/>
      <c r="N81" s="45"/>
      <c r="O81" s="45"/>
      <c r="P81" s="47"/>
      <c r="Q81" s="45"/>
      <c r="R81" s="45"/>
      <c r="S81" s="45"/>
      <c r="T81" s="45"/>
      <c r="U81" s="45"/>
      <c r="V81" s="45"/>
      <c r="W81" s="45"/>
      <c r="X81" s="45"/>
      <c r="Y81" s="45"/>
      <c r="Z81" s="48" t="s">
        <v>642</v>
      </c>
      <c r="AA81" s="45" t="s">
        <v>642</v>
      </c>
      <c r="AB81" s="45">
        <v>0</v>
      </c>
      <c r="AD81"/>
    </row>
    <row r="82" spans="1:30" ht="12.75" customHeight="1">
      <c r="A82" s="45"/>
      <c r="B82" s="45"/>
      <c r="C82" s="45"/>
      <c r="D82" s="45"/>
      <c r="E82" s="45"/>
      <c r="F82" s="45"/>
      <c r="G82" s="45"/>
      <c r="H82" s="45"/>
      <c r="I82" s="45"/>
      <c r="J82" s="45"/>
      <c r="K82" s="45"/>
      <c r="L82" s="46"/>
      <c r="M82" s="45"/>
      <c r="N82" s="45"/>
      <c r="O82" s="45"/>
      <c r="P82" s="47"/>
      <c r="Q82" s="45"/>
      <c r="R82" s="45"/>
      <c r="S82" s="45"/>
      <c r="T82" s="45"/>
      <c r="U82" s="45"/>
      <c r="V82" s="45"/>
      <c r="W82" s="45"/>
      <c r="X82" s="45"/>
      <c r="Y82" s="45"/>
      <c r="Z82" s="48" t="s">
        <v>642</v>
      </c>
      <c r="AA82" s="45" t="s">
        <v>642</v>
      </c>
      <c r="AB82" s="45">
        <v>0</v>
      </c>
      <c r="AD82"/>
    </row>
    <row r="83" spans="1:30" ht="12.75" customHeight="1">
      <c r="A83" s="45"/>
      <c r="B83" s="45"/>
      <c r="C83" s="45"/>
      <c r="D83" s="45"/>
      <c r="E83" s="45"/>
      <c r="F83" s="45"/>
      <c r="G83" s="45"/>
      <c r="H83" s="45"/>
      <c r="I83" s="45"/>
      <c r="J83" s="45"/>
      <c r="K83" s="45"/>
      <c r="L83" s="46"/>
      <c r="M83" s="45"/>
      <c r="N83" s="45"/>
      <c r="O83" s="45"/>
      <c r="P83" s="47"/>
      <c r="Q83" s="45"/>
      <c r="R83" s="45"/>
      <c r="S83" s="45"/>
      <c r="T83" s="45"/>
      <c r="U83" s="45"/>
      <c r="V83" s="45"/>
      <c r="W83" s="45"/>
      <c r="X83" s="45"/>
      <c r="Y83" s="45"/>
      <c r="Z83" s="48" t="s">
        <v>642</v>
      </c>
      <c r="AA83" s="45" t="s">
        <v>642</v>
      </c>
      <c r="AB83" s="45">
        <v>0</v>
      </c>
      <c r="AD83"/>
    </row>
    <row r="84" spans="1:30" ht="12.75" customHeight="1">
      <c r="A84" s="45"/>
      <c r="B84" s="45"/>
      <c r="C84" s="45"/>
      <c r="D84" s="45"/>
      <c r="E84" s="45"/>
      <c r="F84" s="45"/>
      <c r="G84" s="45"/>
      <c r="H84" s="45"/>
      <c r="I84" s="45"/>
      <c r="J84" s="45"/>
      <c r="K84" s="45"/>
      <c r="L84" s="46"/>
      <c r="M84" s="45"/>
      <c r="N84" s="45"/>
      <c r="O84" s="45"/>
      <c r="P84" s="47"/>
      <c r="Q84" s="45"/>
      <c r="R84" s="45"/>
      <c r="S84" s="45"/>
      <c r="T84" s="45"/>
      <c r="U84" s="45"/>
      <c r="V84" s="45"/>
      <c r="W84" s="45"/>
      <c r="X84" s="45"/>
      <c r="Y84" s="45"/>
      <c r="Z84" s="48" t="s">
        <v>642</v>
      </c>
      <c r="AA84" s="45" t="s">
        <v>642</v>
      </c>
      <c r="AB84" s="45">
        <v>0</v>
      </c>
      <c r="AD84"/>
    </row>
    <row r="85" spans="1:30" ht="12.75" customHeight="1">
      <c r="A85" s="45"/>
      <c r="B85" s="45"/>
      <c r="C85" s="45"/>
      <c r="D85" s="45"/>
      <c r="E85" s="45"/>
      <c r="F85" s="45"/>
      <c r="G85" s="45"/>
      <c r="H85" s="45"/>
      <c r="I85" s="45"/>
      <c r="J85" s="45"/>
      <c r="K85" s="45"/>
      <c r="L85" s="46"/>
      <c r="M85" s="45"/>
      <c r="N85" s="45"/>
      <c r="O85" s="45"/>
      <c r="P85" s="47"/>
      <c r="Q85" s="45"/>
      <c r="R85" s="45"/>
      <c r="S85" s="45"/>
      <c r="T85" s="45"/>
      <c r="U85" s="45"/>
      <c r="V85" s="45"/>
      <c r="W85" s="45"/>
      <c r="X85" s="45"/>
      <c r="Y85" s="45"/>
      <c r="Z85" s="48" t="s">
        <v>642</v>
      </c>
      <c r="AA85" s="45" t="s">
        <v>642</v>
      </c>
      <c r="AB85" s="45">
        <v>0</v>
      </c>
      <c r="AD85"/>
    </row>
    <row r="86" spans="1:30" ht="12.75" customHeight="1">
      <c r="A86" s="45"/>
      <c r="B86" s="45"/>
      <c r="C86" s="45"/>
      <c r="D86" s="45"/>
      <c r="E86" s="45"/>
      <c r="F86" s="45"/>
      <c r="G86" s="45"/>
      <c r="H86" s="45"/>
      <c r="I86" s="45"/>
      <c r="J86" s="45"/>
      <c r="K86" s="45"/>
      <c r="L86" s="46"/>
      <c r="M86" s="45"/>
      <c r="N86" s="45"/>
      <c r="O86" s="45"/>
      <c r="P86" s="47"/>
      <c r="Q86" s="45"/>
      <c r="R86" s="45"/>
      <c r="S86" s="45"/>
      <c r="T86" s="45"/>
      <c r="U86" s="45"/>
      <c r="V86" s="45"/>
      <c r="W86" s="45"/>
      <c r="X86" s="45"/>
      <c r="Y86" s="45"/>
      <c r="Z86" s="48" t="s">
        <v>642</v>
      </c>
      <c r="AA86" s="45" t="s">
        <v>642</v>
      </c>
      <c r="AB86" s="45">
        <v>0</v>
      </c>
      <c r="AD86"/>
    </row>
    <row r="87" spans="1:30" ht="12.75" customHeight="1">
      <c r="A87" s="45"/>
      <c r="B87" s="45"/>
      <c r="C87" s="45"/>
      <c r="D87" s="45"/>
      <c r="E87" s="45"/>
      <c r="F87" s="45"/>
      <c r="G87" s="45"/>
      <c r="H87" s="45"/>
      <c r="I87" s="45"/>
      <c r="J87" s="45"/>
      <c r="K87" s="45"/>
      <c r="L87" s="46"/>
      <c r="M87" s="45"/>
      <c r="N87" s="45"/>
      <c r="O87" s="45"/>
      <c r="P87" s="47"/>
      <c r="Q87" s="45"/>
      <c r="R87" s="45"/>
      <c r="S87" s="45"/>
      <c r="T87" s="45"/>
      <c r="U87" s="45"/>
      <c r="V87" s="45"/>
      <c r="W87" s="45"/>
      <c r="X87" s="45"/>
      <c r="Y87" s="45"/>
      <c r="Z87" s="48" t="s">
        <v>642</v>
      </c>
      <c r="AA87" s="45" t="s">
        <v>642</v>
      </c>
      <c r="AB87" s="45">
        <v>0</v>
      </c>
      <c r="AD87"/>
    </row>
    <row r="88" spans="1:30" ht="12.75" customHeight="1">
      <c r="A88" s="45"/>
      <c r="B88" s="45"/>
      <c r="C88" s="45"/>
      <c r="D88" s="45"/>
      <c r="E88" s="45"/>
      <c r="F88" s="45"/>
      <c r="G88" s="45"/>
      <c r="H88" s="45"/>
      <c r="I88" s="45"/>
      <c r="J88" s="45"/>
      <c r="K88" s="45"/>
      <c r="L88" s="46"/>
      <c r="M88" s="45"/>
      <c r="N88" s="45"/>
      <c r="O88" s="45"/>
      <c r="P88" s="47"/>
      <c r="Q88" s="45"/>
      <c r="R88" s="45"/>
      <c r="S88" s="45"/>
      <c r="T88" s="45"/>
      <c r="U88" s="45"/>
      <c r="V88" s="45"/>
      <c r="W88" s="45"/>
      <c r="X88" s="45"/>
      <c r="Y88" s="45"/>
      <c r="Z88" s="48" t="s">
        <v>642</v>
      </c>
      <c r="AA88" s="45" t="s">
        <v>642</v>
      </c>
      <c r="AB88" s="45">
        <v>0</v>
      </c>
      <c r="AD88"/>
    </row>
    <row r="89" spans="1:30" ht="12.75" customHeight="1">
      <c r="A89" s="45"/>
      <c r="B89" s="45"/>
      <c r="C89" s="45"/>
      <c r="D89" s="45"/>
      <c r="E89" s="45"/>
      <c r="F89" s="45"/>
      <c r="G89" s="45"/>
      <c r="H89" s="45"/>
      <c r="I89" s="45"/>
      <c r="J89" s="45"/>
      <c r="K89" s="45"/>
      <c r="L89" s="46"/>
      <c r="M89" s="45"/>
      <c r="N89" s="45"/>
      <c r="O89" s="45"/>
      <c r="P89" s="47"/>
      <c r="Q89" s="45"/>
      <c r="R89" s="45"/>
      <c r="S89" s="45"/>
      <c r="T89" s="45"/>
      <c r="U89" s="45"/>
      <c r="V89" s="45"/>
      <c r="W89" s="45"/>
      <c r="X89" s="45"/>
      <c r="Y89" s="45"/>
      <c r="Z89" s="48" t="s">
        <v>642</v>
      </c>
      <c r="AA89" s="45" t="s">
        <v>642</v>
      </c>
      <c r="AB89" s="45">
        <v>0</v>
      </c>
      <c r="AD89"/>
    </row>
    <row r="90" spans="1:30" ht="12.75" customHeight="1">
      <c r="A90" s="45"/>
      <c r="B90" s="45"/>
      <c r="C90" s="45"/>
      <c r="D90" s="45"/>
      <c r="E90" s="45"/>
      <c r="F90" s="45"/>
      <c r="G90" s="45"/>
      <c r="H90" s="45"/>
      <c r="I90" s="45"/>
      <c r="J90" s="45"/>
      <c r="K90" s="45"/>
      <c r="L90" s="46"/>
      <c r="M90" s="45"/>
      <c r="N90" s="45"/>
      <c r="O90" s="45"/>
      <c r="P90" s="47"/>
      <c r="Q90" s="45"/>
      <c r="R90" s="45"/>
      <c r="S90" s="45"/>
      <c r="T90" s="45"/>
      <c r="U90" s="45"/>
      <c r="V90" s="45"/>
      <c r="W90" s="45"/>
      <c r="X90" s="45"/>
      <c r="Y90" s="45"/>
      <c r="Z90" s="48" t="s">
        <v>642</v>
      </c>
      <c r="AA90" s="45" t="s">
        <v>642</v>
      </c>
      <c r="AB90" s="45">
        <v>0</v>
      </c>
      <c r="AD90"/>
    </row>
    <row r="91" spans="1:30" ht="12.75" customHeight="1">
      <c r="A91" s="45"/>
      <c r="B91" s="45"/>
      <c r="C91" s="45"/>
      <c r="D91" s="45"/>
      <c r="E91" s="45"/>
      <c r="F91" s="45"/>
      <c r="G91" s="45"/>
      <c r="H91" s="45"/>
      <c r="I91" s="45"/>
      <c r="J91" s="45"/>
      <c r="K91" s="45"/>
      <c r="L91" s="46"/>
      <c r="M91" s="45"/>
      <c r="N91" s="45"/>
      <c r="O91" s="45"/>
      <c r="P91" s="47"/>
      <c r="Q91" s="45"/>
      <c r="R91" s="45"/>
      <c r="S91" s="45"/>
      <c r="T91" s="45"/>
      <c r="U91" s="45"/>
      <c r="V91" s="45"/>
      <c r="W91" s="45"/>
      <c r="X91" s="45"/>
      <c r="Y91" s="45"/>
      <c r="Z91" s="48" t="s">
        <v>642</v>
      </c>
      <c r="AA91" s="45" t="s">
        <v>642</v>
      </c>
      <c r="AB91" s="45">
        <v>0</v>
      </c>
      <c r="AD91"/>
    </row>
    <row r="92" spans="1:30" ht="12.75" customHeight="1">
      <c r="A92" s="45"/>
      <c r="B92" s="45"/>
      <c r="C92" s="45"/>
      <c r="D92" s="45"/>
      <c r="E92" s="45"/>
      <c r="F92" s="45"/>
      <c r="G92" s="45"/>
      <c r="H92" s="45"/>
      <c r="I92" s="45"/>
      <c r="J92" s="45"/>
      <c r="K92" s="45"/>
      <c r="L92" s="46"/>
      <c r="M92" s="45"/>
      <c r="N92" s="45"/>
      <c r="O92" s="45"/>
      <c r="P92" s="47"/>
      <c r="Q92" s="45"/>
      <c r="R92" s="45"/>
      <c r="S92" s="45"/>
      <c r="T92" s="45"/>
      <c r="U92" s="45"/>
      <c r="V92" s="45"/>
      <c r="W92" s="45"/>
      <c r="X92" s="45"/>
      <c r="Y92" s="45"/>
      <c r="Z92" s="48" t="s">
        <v>642</v>
      </c>
      <c r="AA92" s="45" t="s">
        <v>642</v>
      </c>
      <c r="AB92" s="45">
        <v>0</v>
      </c>
      <c r="AD92"/>
    </row>
    <row r="93" spans="1:30" ht="12.75" customHeight="1">
      <c r="A93" s="45"/>
      <c r="B93" s="45"/>
      <c r="C93" s="45"/>
      <c r="D93" s="45"/>
      <c r="E93" s="45"/>
      <c r="F93" s="45"/>
      <c r="G93" s="45"/>
      <c r="H93" s="45"/>
      <c r="I93" s="45"/>
      <c r="J93" s="45"/>
      <c r="K93" s="45"/>
      <c r="L93" s="46"/>
      <c r="M93" s="45"/>
      <c r="N93" s="45"/>
      <c r="O93" s="45"/>
      <c r="P93" s="47"/>
      <c r="Q93" s="45"/>
      <c r="R93" s="45"/>
      <c r="S93" s="45"/>
      <c r="T93" s="45"/>
      <c r="U93" s="45"/>
      <c r="V93" s="45"/>
      <c r="W93" s="45"/>
      <c r="X93" s="45"/>
      <c r="Y93" s="45"/>
      <c r="Z93" s="48" t="s">
        <v>642</v>
      </c>
      <c r="AA93" s="45" t="s">
        <v>642</v>
      </c>
      <c r="AB93" s="45">
        <v>0</v>
      </c>
      <c r="AD93"/>
    </row>
    <row r="94" spans="1:30" ht="12.75" customHeight="1">
      <c r="A94" s="45"/>
      <c r="B94" s="45"/>
      <c r="C94" s="45"/>
      <c r="D94" s="45"/>
      <c r="E94" s="45"/>
      <c r="F94" s="45"/>
      <c r="G94" s="45"/>
      <c r="H94" s="45"/>
      <c r="I94" s="45"/>
      <c r="J94" s="45"/>
      <c r="K94" s="45"/>
      <c r="L94" s="46"/>
      <c r="M94" s="45"/>
      <c r="N94" s="45"/>
      <c r="O94" s="45"/>
      <c r="P94" s="47"/>
      <c r="Q94" s="45"/>
      <c r="R94" s="45"/>
      <c r="S94" s="45"/>
      <c r="T94" s="45"/>
      <c r="U94" s="45"/>
      <c r="V94" s="45"/>
      <c r="W94" s="45"/>
      <c r="X94" s="45"/>
      <c r="Y94" s="45"/>
      <c r="Z94" s="48" t="s">
        <v>642</v>
      </c>
      <c r="AA94" s="45" t="s">
        <v>642</v>
      </c>
      <c r="AB94" s="45">
        <v>0</v>
      </c>
      <c r="AD94"/>
    </row>
    <row r="95" spans="1:30" ht="12.75" customHeight="1">
      <c r="A95" s="45"/>
      <c r="B95" s="45"/>
      <c r="C95" s="45"/>
      <c r="D95" s="45"/>
      <c r="E95" s="45"/>
      <c r="F95" s="45"/>
      <c r="G95" s="45"/>
      <c r="H95" s="45"/>
      <c r="I95" s="45"/>
      <c r="J95" s="45"/>
      <c r="K95" s="45"/>
      <c r="L95" s="46"/>
      <c r="M95" s="45"/>
      <c r="N95" s="45"/>
      <c r="O95" s="45"/>
      <c r="P95" s="47"/>
      <c r="Q95" s="45"/>
      <c r="R95" s="45"/>
      <c r="S95" s="45"/>
      <c r="T95" s="45"/>
      <c r="U95" s="45"/>
      <c r="V95" s="45"/>
      <c r="W95" s="45"/>
      <c r="X95" s="45"/>
      <c r="Y95" s="45"/>
      <c r="Z95" s="48" t="s">
        <v>642</v>
      </c>
      <c r="AA95" s="45" t="s">
        <v>642</v>
      </c>
      <c r="AB95" s="45">
        <v>0</v>
      </c>
      <c r="AD95"/>
    </row>
    <row r="96" spans="1:30" ht="12.75" customHeight="1">
      <c r="A96" s="45"/>
      <c r="B96" s="45"/>
      <c r="C96" s="45"/>
      <c r="D96" s="45"/>
      <c r="E96" s="45"/>
      <c r="F96" s="45"/>
      <c r="G96" s="45"/>
      <c r="H96" s="45"/>
      <c r="I96" s="45"/>
      <c r="J96" s="45"/>
      <c r="K96" s="45"/>
      <c r="L96" s="46"/>
      <c r="M96" s="45"/>
      <c r="N96" s="45"/>
      <c r="O96" s="45"/>
      <c r="P96" s="47"/>
      <c r="Q96" s="45"/>
      <c r="R96" s="45"/>
      <c r="S96" s="45"/>
      <c r="T96" s="45"/>
      <c r="U96" s="45"/>
      <c r="V96" s="45"/>
      <c r="W96" s="45"/>
      <c r="X96" s="45"/>
      <c r="Y96" s="45"/>
      <c r="Z96" s="48" t="s">
        <v>642</v>
      </c>
      <c r="AA96" s="45" t="s">
        <v>642</v>
      </c>
      <c r="AB96" s="45">
        <v>0</v>
      </c>
      <c r="AD96"/>
    </row>
    <row r="97" spans="1:30" ht="12.75" customHeight="1">
      <c r="A97" s="45"/>
      <c r="B97" s="45"/>
      <c r="C97" s="45"/>
      <c r="D97" s="45"/>
      <c r="E97" s="45"/>
      <c r="F97" s="45"/>
      <c r="G97" s="45"/>
      <c r="H97" s="45"/>
      <c r="I97" s="45"/>
      <c r="J97" s="45"/>
      <c r="K97" s="45"/>
      <c r="L97" s="46"/>
      <c r="M97" s="45"/>
      <c r="N97" s="45"/>
      <c r="O97" s="45"/>
      <c r="P97" s="47"/>
      <c r="Q97" s="45"/>
      <c r="R97" s="45"/>
      <c r="S97" s="45"/>
      <c r="T97" s="45"/>
      <c r="U97" s="45"/>
      <c r="V97" s="45"/>
      <c r="W97" s="45"/>
      <c r="X97" s="45"/>
      <c r="Y97" s="45"/>
      <c r="Z97" s="48" t="s">
        <v>642</v>
      </c>
      <c r="AA97" s="45" t="s">
        <v>642</v>
      </c>
      <c r="AB97" s="45">
        <v>0</v>
      </c>
      <c r="AD97"/>
    </row>
    <row r="98" spans="1:30" ht="12.75" customHeight="1">
      <c r="A98" s="45"/>
      <c r="B98" s="45"/>
      <c r="C98" s="45"/>
      <c r="D98" s="45"/>
      <c r="E98" s="45"/>
      <c r="F98" s="45"/>
      <c r="G98" s="45"/>
      <c r="H98" s="45"/>
      <c r="I98" s="45"/>
      <c r="J98" s="45"/>
      <c r="K98" s="45"/>
      <c r="L98" s="46"/>
      <c r="M98" s="45"/>
      <c r="N98" s="45"/>
      <c r="O98" s="45"/>
      <c r="P98" s="47"/>
      <c r="Q98" s="45"/>
      <c r="R98" s="45"/>
      <c r="S98" s="45"/>
      <c r="T98" s="45"/>
      <c r="U98" s="45"/>
      <c r="V98" s="45"/>
      <c r="W98" s="45"/>
      <c r="X98" s="45"/>
      <c r="Y98" s="45"/>
      <c r="Z98" s="48" t="s">
        <v>642</v>
      </c>
      <c r="AA98" s="45" t="s">
        <v>642</v>
      </c>
      <c r="AB98" s="45">
        <v>0</v>
      </c>
      <c r="AD98"/>
    </row>
    <row r="99" spans="1:30" ht="12.75" customHeight="1">
      <c r="A99" s="45"/>
      <c r="B99" s="45"/>
      <c r="C99" s="45"/>
      <c r="D99" s="45"/>
      <c r="E99" s="45"/>
      <c r="F99" s="45"/>
      <c r="G99" s="45"/>
      <c r="H99" s="45"/>
      <c r="I99" s="45"/>
      <c r="J99" s="45"/>
      <c r="K99" s="45"/>
      <c r="L99" s="46"/>
      <c r="M99" s="45"/>
      <c r="N99" s="45"/>
      <c r="O99" s="45"/>
      <c r="P99" s="47"/>
      <c r="Q99" s="45"/>
      <c r="R99" s="45"/>
      <c r="S99" s="45"/>
      <c r="T99" s="45"/>
      <c r="U99" s="45"/>
      <c r="V99" s="45"/>
      <c r="W99" s="45"/>
      <c r="X99" s="45"/>
      <c r="Y99" s="45"/>
      <c r="Z99" s="48" t="s">
        <v>642</v>
      </c>
      <c r="AA99" s="45" t="s">
        <v>642</v>
      </c>
      <c r="AB99" s="45">
        <v>0</v>
      </c>
      <c r="AD99"/>
    </row>
    <row r="100" spans="1:30" ht="12.75" customHeight="1">
      <c r="A100" s="45"/>
      <c r="B100" s="45"/>
      <c r="C100" s="45"/>
      <c r="D100" s="45"/>
      <c r="E100" s="45"/>
      <c r="F100" s="45"/>
      <c r="G100" s="45"/>
      <c r="H100" s="45"/>
      <c r="I100" s="45"/>
      <c r="J100" s="45"/>
      <c r="K100" s="45"/>
      <c r="L100" s="46"/>
      <c r="M100" s="45"/>
      <c r="N100" s="45"/>
      <c r="O100" s="45"/>
      <c r="P100" s="47"/>
      <c r="Q100" s="45"/>
      <c r="R100" s="45"/>
      <c r="S100" s="45"/>
      <c r="T100" s="45"/>
      <c r="U100" s="45"/>
      <c r="V100" s="45"/>
      <c r="W100" s="45"/>
      <c r="X100" s="45"/>
      <c r="Y100" s="45"/>
      <c r="Z100" s="48" t="s">
        <v>642</v>
      </c>
      <c r="AA100" s="45" t="s">
        <v>642</v>
      </c>
      <c r="AB100" s="45">
        <v>0</v>
      </c>
      <c r="AD100"/>
    </row>
    <row r="101" spans="1:30" ht="12.75" customHeight="1">
      <c r="A101" s="45"/>
      <c r="B101" s="45"/>
      <c r="C101" s="45"/>
      <c r="D101" s="45"/>
      <c r="E101" s="45"/>
      <c r="F101" s="45"/>
      <c r="G101" s="45"/>
      <c r="H101" s="45"/>
      <c r="I101" s="45"/>
      <c r="J101" s="45"/>
      <c r="K101" s="45"/>
      <c r="L101" s="46"/>
      <c r="M101" s="45"/>
      <c r="N101" s="45"/>
      <c r="O101" s="45"/>
      <c r="P101" s="47"/>
      <c r="Q101" s="45"/>
      <c r="R101" s="45"/>
      <c r="S101" s="45"/>
      <c r="T101" s="45"/>
      <c r="U101" s="45"/>
      <c r="V101" s="45"/>
      <c r="W101" s="45"/>
      <c r="X101" s="45"/>
      <c r="Y101" s="45"/>
      <c r="Z101" s="48" t="s">
        <v>642</v>
      </c>
      <c r="AA101" s="45" t="s">
        <v>642</v>
      </c>
      <c r="AB101" s="45">
        <v>0</v>
      </c>
      <c r="AD101"/>
    </row>
    <row r="102" spans="1:30" ht="12.75" customHeight="1">
      <c r="A102" s="45"/>
      <c r="B102" s="45"/>
      <c r="C102" s="45"/>
      <c r="D102" s="45"/>
      <c r="E102" s="45"/>
      <c r="F102" s="45"/>
      <c r="G102" s="45"/>
      <c r="H102" s="45"/>
      <c r="I102" s="45"/>
      <c r="J102" s="45"/>
      <c r="K102" s="45"/>
      <c r="L102" s="46"/>
      <c r="M102" s="45"/>
      <c r="N102" s="45"/>
      <c r="O102" s="45"/>
      <c r="P102" s="47"/>
      <c r="Q102" s="45"/>
      <c r="R102" s="45"/>
      <c r="S102" s="45"/>
      <c r="T102" s="45"/>
      <c r="U102" s="45"/>
      <c r="V102" s="45"/>
      <c r="W102" s="45"/>
      <c r="X102" s="45"/>
      <c r="Y102" s="45"/>
      <c r="Z102" s="48" t="s">
        <v>642</v>
      </c>
      <c r="AA102" s="45" t="s">
        <v>642</v>
      </c>
      <c r="AB102" s="45">
        <v>0</v>
      </c>
      <c r="AD102"/>
    </row>
    <row r="103" spans="1:30" ht="12.75" customHeight="1">
      <c r="A103" s="45"/>
      <c r="B103" s="45"/>
      <c r="C103" s="45"/>
      <c r="D103" s="45"/>
      <c r="E103" s="45"/>
      <c r="F103" s="45"/>
      <c r="G103" s="45"/>
      <c r="H103" s="45"/>
      <c r="I103" s="45"/>
      <c r="J103" s="45"/>
      <c r="K103" s="45"/>
      <c r="L103" s="46"/>
      <c r="M103" s="45"/>
      <c r="N103" s="45"/>
      <c r="O103" s="45"/>
      <c r="P103" s="47"/>
      <c r="Q103" s="45"/>
      <c r="R103" s="45"/>
      <c r="S103" s="45"/>
      <c r="T103" s="45"/>
      <c r="U103" s="45"/>
      <c r="V103" s="45"/>
      <c r="W103" s="45"/>
      <c r="X103" s="45"/>
      <c r="Y103" s="45"/>
      <c r="Z103" s="48" t="s">
        <v>642</v>
      </c>
      <c r="AA103" s="45" t="s">
        <v>642</v>
      </c>
      <c r="AB103" s="45">
        <v>0</v>
      </c>
      <c r="AD103"/>
    </row>
    <row r="104" spans="1:30" ht="12.75" customHeight="1">
      <c r="A104" s="45"/>
      <c r="B104" s="45"/>
      <c r="C104" s="45"/>
      <c r="D104" s="45"/>
      <c r="E104" s="45"/>
      <c r="F104" s="45"/>
      <c r="G104" s="45"/>
      <c r="H104" s="45"/>
      <c r="I104" s="45"/>
      <c r="J104" s="45"/>
      <c r="K104" s="45"/>
      <c r="L104" s="46"/>
      <c r="M104" s="45"/>
      <c r="N104" s="45"/>
      <c r="O104" s="45"/>
      <c r="P104" s="47"/>
      <c r="Q104" s="45"/>
      <c r="R104" s="45"/>
      <c r="S104" s="45"/>
      <c r="T104" s="45"/>
      <c r="U104" s="45"/>
      <c r="V104" s="45"/>
      <c r="W104" s="45"/>
      <c r="X104" s="45"/>
      <c r="Y104" s="45"/>
      <c r="Z104" s="48" t="s">
        <v>642</v>
      </c>
      <c r="AA104" s="45" t="s">
        <v>642</v>
      </c>
      <c r="AB104" s="45">
        <v>0</v>
      </c>
      <c r="AD104"/>
    </row>
    <row r="105" spans="1:30" ht="12.75" customHeight="1">
      <c r="A105" s="45"/>
      <c r="B105" s="45"/>
      <c r="C105" s="45"/>
      <c r="D105" s="45"/>
      <c r="E105" s="45"/>
      <c r="F105" s="45"/>
      <c r="G105" s="45"/>
      <c r="H105" s="45"/>
      <c r="I105" s="45"/>
      <c r="J105" s="45"/>
      <c r="K105" s="45"/>
      <c r="L105" s="46"/>
      <c r="M105" s="45"/>
      <c r="N105" s="45"/>
      <c r="O105" s="45"/>
      <c r="P105" s="47"/>
      <c r="Q105" s="45"/>
      <c r="R105" s="45"/>
      <c r="S105" s="45"/>
      <c r="T105" s="45"/>
      <c r="U105" s="45"/>
      <c r="V105" s="45"/>
      <c r="W105" s="45"/>
      <c r="X105" s="45"/>
      <c r="Y105" s="45"/>
      <c r="Z105" s="48" t="s">
        <v>642</v>
      </c>
      <c r="AA105" s="45" t="s">
        <v>642</v>
      </c>
      <c r="AB105" s="45">
        <v>0</v>
      </c>
      <c r="AD105"/>
    </row>
    <row r="106" spans="1:30" ht="12.75" customHeight="1">
      <c r="A106" s="45"/>
      <c r="B106" s="45"/>
      <c r="C106" s="45"/>
      <c r="D106" s="45"/>
      <c r="E106" s="45"/>
      <c r="F106" s="45"/>
      <c r="G106" s="45"/>
      <c r="H106" s="45"/>
      <c r="I106" s="45"/>
      <c r="J106" s="45"/>
      <c r="K106" s="45"/>
      <c r="L106" s="46"/>
      <c r="M106" s="45"/>
      <c r="N106" s="45"/>
      <c r="O106" s="45"/>
      <c r="P106" s="47"/>
      <c r="Q106" s="45"/>
      <c r="R106" s="45"/>
      <c r="S106" s="45"/>
      <c r="T106" s="45"/>
      <c r="U106" s="45"/>
      <c r="V106" s="45"/>
      <c r="W106" s="45"/>
      <c r="X106" s="45"/>
      <c r="Y106" s="45"/>
      <c r="Z106" s="48" t="s">
        <v>642</v>
      </c>
      <c r="AA106" s="45" t="s">
        <v>642</v>
      </c>
      <c r="AB106" s="45">
        <v>0</v>
      </c>
      <c r="AD106"/>
    </row>
    <row r="107" spans="1:30" ht="12.75" customHeight="1">
      <c r="A107" s="45"/>
      <c r="B107" s="45"/>
      <c r="C107" s="45"/>
      <c r="D107" s="45"/>
      <c r="E107" s="45"/>
      <c r="F107" s="45"/>
      <c r="G107" s="45"/>
      <c r="H107" s="45"/>
      <c r="I107" s="45"/>
      <c r="J107" s="45"/>
      <c r="K107" s="45"/>
      <c r="L107" s="46"/>
      <c r="M107" s="45"/>
      <c r="N107" s="45"/>
      <c r="O107" s="45"/>
      <c r="P107" s="47"/>
      <c r="Q107" s="45"/>
      <c r="R107" s="45"/>
      <c r="S107" s="45"/>
      <c r="T107" s="45"/>
      <c r="U107" s="45"/>
      <c r="V107" s="45"/>
      <c r="W107" s="45"/>
      <c r="X107" s="45"/>
      <c r="Y107" s="45"/>
      <c r="Z107" s="48" t="s">
        <v>642</v>
      </c>
      <c r="AA107" s="45" t="s">
        <v>642</v>
      </c>
      <c r="AB107" s="45">
        <v>0</v>
      </c>
      <c r="AD107"/>
    </row>
    <row r="108" spans="1:30" ht="12.75" customHeight="1">
      <c r="A108" s="45"/>
      <c r="B108" s="45"/>
      <c r="C108" s="45"/>
      <c r="D108" s="45"/>
      <c r="E108" s="45"/>
      <c r="F108" s="45"/>
      <c r="G108" s="45"/>
      <c r="H108" s="45"/>
      <c r="I108" s="45"/>
      <c r="J108" s="45"/>
      <c r="K108" s="45"/>
      <c r="L108" s="46"/>
      <c r="M108" s="45"/>
      <c r="N108" s="45"/>
      <c r="O108" s="45"/>
      <c r="P108" s="47"/>
      <c r="Q108" s="45"/>
      <c r="R108" s="45"/>
      <c r="S108" s="45"/>
      <c r="T108" s="45"/>
      <c r="U108" s="45"/>
      <c r="V108" s="45"/>
      <c r="W108" s="45"/>
      <c r="X108" s="45"/>
      <c r="Y108" s="45"/>
      <c r="Z108" s="48" t="s">
        <v>642</v>
      </c>
      <c r="AA108" s="45" t="s">
        <v>642</v>
      </c>
      <c r="AB108" s="45">
        <v>0</v>
      </c>
      <c r="AD108"/>
    </row>
    <row r="109" spans="1:30" ht="12.75" customHeight="1">
      <c r="A109" s="45"/>
      <c r="B109" s="45"/>
      <c r="C109" s="45"/>
      <c r="D109" s="45"/>
      <c r="E109" s="45"/>
      <c r="F109" s="45"/>
      <c r="G109" s="45"/>
      <c r="H109" s="45"/>
      <c r="I109" s="45"/>
      <c r="J109" s="45"/>
      <c r="K109" s="45"/>
      <c r="L109" s="46"/>
      <c r="M109" s="45"/>
      <c r="N109" s="45"/>
      <c r="O109" s="45"/>
      <c r="P109" s="47"/>
      <c r="Q109" s="45"/>
      <c r="R109" s="45"/>
      <c r="S109" s="45"/>
      <c r="T109" s="45"/>
      <c r="U109" s="45"/>
      <c r="V109" s="45"/>
      <c r="W109" s="45"/>
      <c r="X109" s="45"/>
      <c r="Y109" s="45"/>
      <c r="Z109" s="48" t="s">
        <v>642</v>
      </c>
      <c r="AA109" s="45" t="s">
        <v>642</v>
      </c>
      <c r="AB109" s="45">
        <v>0</v>
      </c>
      <c r="AD109"/>
    </row>
    <row r="110" spans="1:30" ht="12.75" customHeight="1">
      <c r="A110" s="45"/>
      <c r="B110" s="45"/>
      <c r="C110" s="45"/>
      <c r="D110" s="45"/>
      <c r="E110" s="45"/>
      <c r="F110" s="45"/>
      <c r="G110" s="45"/>
      <c r="H110" s="45"/>
      <c r="I110" s="45"/>
      <c r="J110" s="45"/>
      <c r="K110" s="45"/>
      <c r="L110" s="46"/>
      <c r="M110" s="45"/>
      <c r="N110" s="45"/>
      <c r="O110" s="45"/>
      <c r="P110" s="47"/>
      <c r="Q110" s="45"/>
      <c r="R110" s="45"/>
      <c r="S110" s="45"/>
      <c r="T110" s="45"/>
      <c r="U110" s="45"/>
      <c r="V110" s="45"/>
      <c r="W110" s="45"/>
      <c r="X110" s="45"/>
      <c r="Y110" s="45"/>
      <c r="Z110" s="48" t="s">
        <v>642</v>
      </c>
      <c r="AA110" s="45" t="s">
        <v>642</v>
      </c>
      <c r="AB110" s="45">
        <v>0</v>
      </c>
      <c r="AD110"/>
    </row>
    <row r="111" spans="1:30" ht="12.75" customHeight="1">
      <c r="A111" s="45"/>
      <c r="B111" s="45"/>
      <c r="C111" s="45"/>
      <c r="D111" s="45"/>
      <c r="E111" s="45"/>
      <c r="F111" s="45"/>
      <c r="G111" s="45"/>
      <c r="H111" s="45"/>
      <c r="I111" s="45"/>
      <c r="J111" s="45"/>
      <c r="K111" s="45"/>
      <c r="L111" s="46"/>
      <c r="M111" s="45"/>
      <c r="N111" s="45"/>
      <c r="O111" s="45"/>
      <c r="P111" s="47"/>
      <c r="Q111" s="45"/>
      <c r="R111" s="45"/>
      <c r="S111" s="45"/>
      <c r="T111" s="45"/>
      <c r="U111" s="45"/>
      <c r="V111" s="45"/>
      <c r="W111" s="45"/>
      <c r="X111" s="45"/>
      <c r="Y111" s="45"/>
      <c r="Z111" s="48" t="s">
        <v>642</v>
      </c>
      <c r="AA111" s="45" t="s">
        <v>642</v>
      </c>
      <c r="AB111" s="45">
        <v>0</v>
      </c>
      <c r="AD111"/>
    </row>
    <row r="112" spans="1:30" ht="12.75" customHeight="1">
      <c r="A112" s="45"/>
      <c r="B112" s="45"/>
      <c r="C112" s="45"/>
      <c r="D112" s="45"/>
      <c r="E112" s="45"/>
      <c r="F112" s="45"/>
      <c r="G112" s="45"/>
      <c r="H112" s="45"/>
      <c r="I112" s="45"/>
      <c r="J112" s="45"/>
      <c r="K112" s="45"/>
      <c r="L112" s="46"/>
      <c r="M112" s="45"/>
      <c r="N112" s="45"/>
      <c r="O112" s="45"/>
      <c r="P112" s="47"/>
      <c r="Q112" s="45"/>
      <c r="R112" s="45"/>
      <c r="S112" s="45"/>
      <c r="T112" s="45"/>
      <c r="U112" s="45"/>
      <c r="V112" s="45"/>
      <c r="W112" s="45"/>
      <c r="X112" s="45"/>
      <c r="Y112" s="45"/>
      <c r="Z112" s="48" t="s">
        <v>642</v>
      </c>
      <c r="AA112" s="45" t="s">
        <v>642</v>
      </c>
      <c r="AB112" s="45">
        <v>0</v>
      </c>
      <c r="AD112"/>
    </row>
    <row r="113" spans="1:30" ht="12.75" customHeight="1">
      <c r="A113" s="45"/>
      <c r="B113" s="45"/>
      <c r="C113" s="45"/>
      <c r="D113" s="45"/>
      <c r="E113" s="45"/>
      <c r="F113" s="45"/>
      <c r="G113" s="45"/>
      <c r="H113" s="45"/>
      <c r="I113" s="45"/>
      <c r="J113" s="45"/>
      <c r="K113" s="45"/>
      <c r="L113" s="46"/>
      <c r="M113" s="45"/>
      <c r="N113" s="45"/>
      <c r="O113" s="45"/>
      <c r="P113" s="47"/>
      <c r="Q113" s="45"/>
      <c r="R113" s="45"/>
      <c r="S113" s="45"/>
      <c r="T113" s="45"/>
      <c r="U113" s="45"/>
      <c r="V113" s="45"/>
      <c r="W113" s="45"/>
      <c r="X113" s="45"/>
      <c r="Y113" s="45"/>
      <c r="Z113" s="48" t="s">
        <v>642</v>
      </c>
      <c r="AA113" s="45" t="s">
        <v>642</v>
      </c>
      <c r="AB113" s="45">
        <v>0</v>
      </c>
      <c r="AD113"/>
    </row>
    <row r="114" spans="1:30" ht="12.75" customHeight="1">
      <c r="A114" s="45"/>
      <c r="B114" s="45"/>
      <c r="C114" s="45"/>
      <c r="D114" s="45"/>
      <c r="E114" s="45"/>
      <c r="F114" s="45"/>
      <c r="G114" s="45"/>
      <c r="H114" s="45"/>
      <c r="I114" s="45"/>
      <c r="J114" s="45"/>
      <c r="K114" s="45"/>
      <c r="L114" s="46"/>
      <c r="M114" s="45"/>
      <c r="N114" s="45"/>
      <c r="O114" s="45"/>
      <c r="P114" s="47"/>
      <c r="Q114" s="45"/>
      <c r="R114" s="45"/>
      <c r="S114" s="45"/>
      <c r="T114" s="45"/>
      <c r="U114" s="45"/>
      <c r="V114" s="45"/>
      <c r="W114" s="45"/>
      <c r="X114" s="45"/>
      <c r="Y114" s="45"/>
      <c r="Z114" s="48" t="s">
        <v>642</v>
      </c>
      <c r="AA114" s="45" t="s">
        <v>642</v>
      </c>
      <c r="AB114" s="45">
        <v>0</v>
      </c>
      <c r="AD114"/>
    </row>
    <row r="115" spans="1:30" ht="12.75" customHeight="1">
      <c r="A115" s="45"/>
      <c r="B115" s="45"/>
      <c r="C115" s="45"/>
      <c r="D115" s="45"/>
      <c r="E115" s="45"/>
      <c r="F115" s="45"/>
      <c r="G115" s="45"/>
      <c r="H115" s="45"/>
      <c r="I115" s="45"/>
      <c r="J115" s="45"/>
      <c r="K115" s="45"/>
      <c r="L115" s="46"/>
      <c r="M115" s="45"/>
      <c r="N115" s="45"/>
      <c r="O115" s="45"/>
      <c r="P115" s="47"/>
      <c r="Q115" s="45"/>
      <c r="R115" s="45"/>
      <c r="S115" s="45"/>
      <c r="T115" s="45"/>
      <c r="U115" s="45"/>
      <c r="V115" s="45"/>
      <c r="W115" s="45"/>
      <c r="X115" s="45"/>
      <c r="Y115" s="45"/>
      <c r="Z115" s="48" t="s">
        <v>642</v>
      </c>
      <c r="AA115" s="45" t="s">
        <v>642</v>
      </c>
      <c r="AB115" s="45">
        <v>0</v>
      </c>
      <c r="AD115"/>
    </row>
    <row r="116" spans="1:30" ht="12.75" customHeight="1">
      <c r="A116" s="45"/>
      <c r="B116" s="45"/>
      <c r="C116" s="45"/>
      <c r="D116" s="45"/>
      <c r="E116" s="45"/>
      <c r="F116" s="45"/>
      <c r="G116" s="45"/>
      <c r="H116" s="45"/>
      <c r="I116" s="45"/>
      <c r="J116" s="45"/>
      <c r="K116" s="45"/>
      <c r="L116" s="46"/>
      <c r="M116" s="45"/>
      <c r="N116" s="45"/>
      <c r="O116" s="45"/>
      <c r="P116" s="47"/>
      <c r="Q116" s="45"/>
      <c r="R116" s="45"/>
      <c r="S116" s="45"/>
      <c r="T116" s="45"/>
      <c r="U116" s="45"/>
      <c r="V116" s="45"/>
      <c r="W116" s="45"/>
      <c r="X116" s="45"/>
      <c r="Y116" s="45"/>
      <c r="Z116" s="48" t="s">
        <v>642</v>
      </c>
      <c r="AA116" s="45" t="s">
        <v>642</v>
      </c>
      <c r="AB116" s="45">
        <v>0</v>
      </c>
      <c r="AD116"/>
    </row>
    <row r="117" spans="1:30" ht="12.75" customHeight="1">
      <c r="A117" s="45"/>
      <c r="B117" s="45"/>
      <c r="C117" s="45"/>
      <c r="D117" s="45"/>
      <c r="E117" s="45"/>
      <c r="F117" s="45"/>
      <c r="G117" s="45"/>
      <c r="H117" s="45"/>
      <c r="I117" s="45"/>
      <c r="J117" s="45"/>
      <c r="K117" s="45"/>
      <c r="L117" s="46"/>
      <c r="M117" s="45"/>
      <c r="N117" s="45"/>
      <c r="O117" s="45"/>
      <c r="P117" s="47"/>
      <c r="Q117" s="45"/>
      <c r="R117" s="45"/>
      <c r="S117" s="45"/>
      <c r="T117" s="45"/>
      <c r="U117" s="45"/>
      <c r="V117" s="45"/>
      <c r="W117" s="45"/>
      <c r="X117" s="45"/>
      <c r="Y117" s="45"/>
      <c r="Z117" s="48" t="s">
        <v>642</v>
      </c>
      <c r="AA117" s="45" t="s">
        <v>642</v>
      </c>
      <c r="AB117" s="45">
        <v>0</v>
      </c>
      <c r="AD117"/>
    </row>
    <row r="118" spans="1:30" ht="12.75" customHeight="1">
      <c r="A118" s="45"/>
      <c r="B118" s="45"/>
      <c r="C118" s="45"/>
      <c r="D118" s="45"/>
      <c r="E118" s="45"/>
      <c r="F118" s="45"/>
      <c r="G118" s="45"/>
      <c r="H118" s="45"/>
      <c r="I118" s="45"/>
      <c r="J118" s="45"/>
      <c r="K118" s="45"/>
      <c r="L118" s="46"/>
      <c r="M118" s="45"/>
      <c r="N118" s="45"/>
      <c r="O118" s="45"/>
      <c r="P118" s="47"/>
      <c r="Q118" s="45"/>
      <c r="R118" s="45"/>
      <c r="S118" s="45"/>
      <c r="T118" s="45"/>
      <c r="U118" s="45"/>
      <c r="V118" s="45"/>
      <c r="W118" s="45"/>
      <c r="X118" s="45"/>
      <c r="Y118" s="45"/>
      <c r="Z118" s="48" t="s">
        <v>642</v>
      </c>
      <c r="AA118" s="45" t="s">
        <v>642</v>
      </c>
      <c r="AB118" s="45">
        <v>0</v>
      </c>
      <c r="AD118"/>
    </row>
    <row r="119" spans="1:30" ht="12.75" customHeight="1">
      <c r="A119" s="45"/>
      <c r="B119" s="45"/>
      <c r="C119" s="45"/>
      <c r="D119" s="45"/>
      <c r="E119" s="45"/>
      <c r="F119" s="45"/>
      <c r="G119" s="45"/>
      <c r="H119" s="45"/>
      <c r="I119" s="45"/>
      <c r="J119" s="45"/>
      <c r="K119" s="45"/>
      <c r="L119" s="46"/>
      <c r="M119" s="45"/>
      <c r="N119" s="45"/>
      <c r="O119" s="45"/>
      <c r="P119" s="47"/>
      <c r="Q119" s="45"/>
      <c r="R119" s="45"/>
      <c r="S119" s="45"/>
      <c r="T119" s="45"/>
      <c r="U119" s="45"/>
      <c r="V119" s="45"/>
      <c r="W119" s="45"/>
      <c r="X119" s="45"/>
      <c r="Y119" s="45"/>
      <c r="Z119" s="48" t="s">
        <v>642</v>
      </c>
      <c r="AA119" s="45" t="s">
        <v>642</v>
      </c>
      <c r="AB119" s="45">
        <v>0</v>
      </c>
      <c r="AD119"/>
    </row>
    <row r="120" spans="1:30" ht="12.75" customHeight="1">
      <c r="A120" s="45"/>
      <c r="B120" s="45"/>
      <c r="C120" s="45"/>
      <c r="D120" s="45"/>
      <c r="E120" s="45"/>
      <c r="F120" s="45"/>
      <c r="G120" s="45"/>
      <c r="H120" s="45"/>
      <c r="I120" s="45"/>
      <c r="J120" s="45"/>
      <c r="K120" s="45"/>
      <c r="L120" s="46"/>
      <c r="M120" s="45"/>
      <c r="N120" s="45"/>
      <c r="O120" s="45"/>
      <c r="P120" s="47"/>
      <c r="Q120" s="45"/>
      <c r="R120" s="45"/>
      <c r="S120" s="45"/>
      <c r="T120" s="45"/>
      <c r="U120" s="45"/>
      <c r="V120" s="45"/>
      <c r="W120" s="45"/>
      <c r="X120" s="45"/>
      <c r="Y120" s="45"/>
      <c r="Z120" s="48" t="s">
        <v>642</v>
      </c>
      <c r="AA120" s="45" t="s">
        <v>642</v>
      </c>
      <c r="AB120" s="45">
        <v>0</v>
      </c>
      <c r="AD120"/>
    </row>
    <row r="121" spans="1:30" ht="12.75" customHeight="1">
      <c r="A121" s="45"/>
      <c r="B121" s="45"/>
      <c r="C121" s="45"/>
      <c r="D121" s="45"/>
      <c r="E121" s="45"/>
      <c r="F121" s="45"/>
      <c r="G121" s="45"/>
      <c r="H121" s="45"/>
      <c r="I121" s="45"/>
      <c r="J121" s="45"/>
      <c r="K121" s="45"/>
      <c r="L121" s="46"/>
      <c r="M121" s="45"/>
      <c r="N121" s="45"/>
      <c r="O121" s="45"/>
      <c r="P121" s="47"/>
      <c r="Q121" s="45"/>
      <c r="R121" s="45"/>
      <c r="S121" s="45"/>
      <c r="T121" s="45"/>
      <c r="U121" s="45"/>
      <c r="V121" s="45"/>
      <c r="W121" s="45"/>
      <c r="X121" s="45"/>
      <c r="Y121" s="45"/>
      <c r="Z121" s="48" t="s">
        <v>642</v>
      </c>
      <c r="AA121" s="45" t="s">
        <v>642</v>
      </c>
      <c r="AB121" s="45">
        <v>0</v>
      </c>
      <c r="AD121"/>
    </row>
    <row r="122" spans="1:30" ht="12.75" customHeight="1">
      <c r="A122" s="45"/>
      <c r="B122" s="45"/>
      <c r="C122" s="45"/>
      <c r="D122" s="45"/>
      <c r="E122" s="45"/>
      <c r="F122" s="45"/>
      <c r="G122" s="45"/>
      <c r="H122" s="45"/>
      <c r="I122" s="45"/>
      <c r="J122" s="45"/>
      <c r="K122" s="45"/>
      <c r="L122" s="46"/>
      <c r="M122" s="45"/>
      <c r="N122" s="45"/>
      <c r="O122" s="45"/>
      <c r="P122" s="47"/>
      <c r="Q122" s="45"/>
      <c r="R122" s="45"/>
      <c r="S122" s="45"/>
      <c r="T122" s="45"/>
      <c r="U122" s="45"/>
      <c r="V122" s="45"/>
      <c r="W122" s="45"/>
      <c r="X122" s="45"/>
      <c r="Y122" s="45"/>
      <c r="Z122" s="48" t="s">
        <v>642</v>
      </c>
      <c r="AA122" s="45" t="s">
        <v>642</v>
      </c>
      <c r="AB122" s="45">
        <v>0</v>
      </c>
      <c r="AD122"/>
    </row>
    <row r="123" spans="1:30" ht="12.75" customHeight="1">
      <c r="A123" s="45"/>
      <c r="B123" s="45"/>
      <c r="C123" s="45"/>
      <c r="D123" s="45"/>
      <c r="E123" s="45"/>
      <c r="F123" s="45"/>
      <c r="G123" s="45"/>
      <c r="H123" s="45"/>
      <c r="I123" s="45"/>
      <c r="J123" s="45"/>
      <c r="K123" s="45"/>
      <c r="L123" s="46"/>
      <c r="M123" s="45"/>
      <c r="N123" s="45"/>
      <c r="O123" s="45"/>
      <c r="P123" s="47"/>
      <c r="Q123" s="45"/>
      <c r="R123" s="45"/>
      <c r="S123" s="45"/>
      <c r="T123" s="45"/>
      <c r="U123" s="45"/>
      <c r="V123" s="45"/>
      <c r="W123" s="45"/>
      <c r="X123" s="45"/>
      <c r="Y123" s="45"/>
      <c r="Z123" s="48" t="s">
        <v>642</v>
      </c>
      <c r="AA123" s="45" t="s">
        <v>642</v>
      </c>
      <c r="AB123" s="45">
        <v>0</v>
      </c>
      <c r="AD123"/>
    </row>
    <row r="124" spans="1:30" ht="12.75" customHeight="1">
      <c r="A124" s="45"/>
      <c r="B124" s="45"/>
      <c r="C124" s="45"/>
      <c r="D124" s="45"/>
      <c r="E124" s="45"/>
      <c r="F124" s="45"/>
      <c r="G124" s="45"/>
      <c r="H124" s="45"/>
      <c r="I124" s="45"/>
      <c r="J124" s="45"/>
      <c r="K124" s="45"/>
      <c r="L124" s="46"/>
      <c r="M124" s="45"/>
      <c r="N124" s="45"/>
      <c r="O124" s="45"/>
      <c r="P124" s="47"/>
      <c r="Q124" s="45"/>
      <c r="R124" s="45"/>
      <c r="S124" s="45"/>
      <c r="T124" s="45"/>
      <c r="U124" s="45"/>
      <c r="V124" s="45"/>
      <c r="W124" s="45"/>
      <c r="X124" s="45"/>
      <c r="Y124" s="45"/>
      <c r="Z124" s="48" t="s">
        <v>642</v>
      </c>
      <c r="AA124" s="45" t="s">
        <v>642</v>
      </c>
      <c r="AB124" s="45">
        <v>0</v>
      </c>
      <c r="AD124"/>
    </row>
    <row r="125" spans="1:30" ht="12.75" customHeight="1">
      <c r="A125" s="45"/>
      <c r="B125" s="45"/>
      <c r="C125" s="45"/>
      <c r="D125" s="45"/>
      <c r="E125" s="45"/>
      <c r="F125" s="45"/>
      <c r="G125" s="45"/>
      <c r="H125" s="45"/>
      <c r="I125" s="45"/>
      <c r="J125" s="45"/>
      <c r="K125" s="45"/>
      <c r="L125" s="46"/>
      <c r="M125" s="45"/>
      <c r="N125" s="45"/>
      <c r="O125" s="45"/>
      <c r="P125" s="47"/>
      <c r="Q125" s="45"/>
      <c r="R125" s="45"/>
      <c r="S125" s="45"/>
      <c r="T125" s="45"/>
      <c r="U125" s="45"/>
      <c r="V125" s="45"/>
      <c r="W125" s="45"/>
      <c r="X125" s="45"/>
      <c r="Y125" s="45"/>
      <c r="Z125" s="48" t="s">
        <v>642</v>
      </c>
      <c r="AA125" s="45" t="s">
        <v>642</v>
      </c>
      <c r="AB125" s="45">
        <v>0</v>
      </c>
      <c r="AD125"/>
    </row>
    <row r="126" spans="1:30" ht="12.75" customHeight="1">
      <c r="A126" s="45"/>
      <c r="B126" s="45"/>
      <c r="C126" s="45"/>
      <c r="D126" s="45"/>
      <c r="E126" s="45"/>
      <c r="F126" s="45"/>
      <c r="G126" s="45"/>
      <c r="H126" s="45"/>
      <c r="I126" s="45"/>
      <c r="J126" s="45"/>
      <c r="K126" s="45"/>
      <c r="L126" s="46"/>
      <c r="M126" s="45"/>
      <c r="N126" s="45"/>
      <c r="O126" s="45"/>
      <c r="P126" s="47"/>
      <c r="Q126" s="45"/>
      <c r="R126" s="45"/>
      <c r="S126" s="45"/>
      <c r="T126" s="45"/>
      <c r="U126" s="45"/>
      <c r="V126" s="45"/>
      <c r="W126" s="45"/>
      <c r="X126" s="45"/>
      <c r="Y126" s="45"/>
      <c r="Z126" s="48" t="s">
        <v>642</v>
      </c>
      <c r="AA126" s="45" t="s">
        <v>642</v>
      </c>
      <c r="AB126" s="45">
        <v>0</v>
      </c>
      <c r="AD126"/>
    </row>
    <row r="127" spans="1:30" ht="12.75" customHeight="1">
      <c r="A127" s="45"/>
      <c r="B127" s="45"/>
      <c r="C127" s="45"/>
      <c r="D127" s="45"/>
      <c r="E127" s="45"/>
      <c r="F127" s="45"/>
      <c r="G127" s="45"/>
      <c r="H127" s="45"/>
      <c r="I127" s="45"/>
      <c r="J127" s="45"/>
      <c r="K127" s="45"/>
      <c r="L127" s="46"/>
      <c r="M127" s="45"/>
      <c r="N127" s="45"/>
      <c r="O127" s="45"/>
      <c r="P127" s="47"/>
      <c r="Q127" s="45"/>
      <c r="R127" s="45"/>
      <c r="S127" s="45"/>
      <c r="T127" s="45"/>
      <c r="U127" s="45"/>
      <c r="V127" s="45"/>
      <c r="W127" s="45"/>
      <c r="X127" s="45"/>
      <c r="Y127" s="45"/>
      <c r="Z127" s="48" t="s">
        <v>642</v>
      </c>
      <c r="AA127" s="45" t="s">
        <v>642</v>
      </c>
      <c r="AB127" s="45">
        <v>0</v>
      </c>
      <c r="AD127"/>
    </row>
    <row r="128" spans="1:30" ht="12.75" customHeight="1">
      <c r="A128" s="45"/>
      <c r="B128" s="45"/>
      <c r="C128" s="45"/>
      <c r="D128" s="45"/>
      <c r="E128" s="45"/>
      <c r="F128" s="45"/>
      <c r="G128" s="45"/>
      <c r="H128" s="45"/>
      <c r="I128" s="45"/>
      <c r="J128" s="45"/>
      <c r="K128" s="45"/>
      <c r="L128" s="46"/>
      <c r="M128" s="45"/>
      <c r="N128" s="45"/>
      <c r="O128" s="45"/>
      <c r="P128" s="47"/>
      <c r="Q128" s="45"/>
      <c r="R128" s="45"/>
      <c r="S128" s="45"/>
      <c r="T128" s="45"/>
      <c r="U128" s="45"/>
      <c r="V128" s="45"/>
      <c r="W128" s="45"/>
      <c r="X128" s="45"/>
      <c r="Y128" s="45"/>
      <c r="Z128" s="48" t="s">
        <v>642</v>
      </c>
      <c r="AA128" s="45" t="s">
        <v>642</v>
      </c>
      <c r="AB128" s="45">
        <v>0</v>
      </c>
      <c r="AD128"/>
    </row>
    <row r="129" spans="1:30" ht="12.75" customHeight="1">
      <c r="A129" s="45"/>
      <c r="B129" s="45"/>
      <c r="C129" s="45"/>
      <c r="D129" s="45"/>
      <c r="E129" s="45"/>
      <c r="F129" s="45"/>
      <c r="G129" s="45"/>
      <c r="H129" s="45"/>
      <c r="I129" s="45"/>
      <c r="J129" s="45"/>
      <c r="K129" s="45"/>
      <c r="L129" s="46"/>
      <c r="M129" s="45"/>
      <c r="N129" s="45"/>
      <c r="O129" s="45"/>
      <c r="P129" s="47"/>
      <c r="Q129" s="45"/>
      <c r="R129" s="45"/>
      <c r="S129" s="45"/>
      <c r="T129" s="45"/>
      <c r="U129" s="45"/>
      <c r="V129" s="45"/>
      <c r="W129" s="45"/>
      <c r="X129" s="45"/>
      <c r="Y129" s="45"/>
      <c r="Z129" s="48" t="s">
        <v>642</v>
      </c>
      <c r="AA129" s="45" t="s">
        <v>642</v>
      </c>
      <c r="AB129" s="45">
        <v>0</v>
      </c>
      <c r="AD129"/>
    </row>
    <row r="130" spans="1:30" ht="12.75" customHeight="1">
      <c r="A130" s="45"/>
      <c r="B130" s="45"/>
      <c r="C130" s="45"/>
      <c r="D130" s="45"/>
      <c r="E130" s="45"/>
      <c r="F130" s="45"/>
      <c r="G130" s="45"/>
      <c r="H130" s="45"/>
      <c r="I130" s="45"/>
      <c r="J130" s="45"/>
      <c r="K130" s="45"/>
      <c r="L130" s="46"/>
      <c r="M130" s="45"/>
      <c r="N130" s="45"/>
      <c r="O130" s="45"/>
      <c r="P130" s="47"/>
      <c r="Q130" s="45"/>
      <c r="R130" s="45"/>
      <c r="S130" s="45"/>
      <c r="T130" s="45"/>
      <c r="U130" s="45"/>
      <c r="V130" s="45"/>
      <c r="W130" s="45"/>
      <c r="X130" s="45"/>
      <c r="Y130" s="45"/>
      <c r="Z130" s="48" t="s">
        <v>642</v>
      </c>
      <c r="AA130" s="45" t="s">
        <v>642</v>
      </c>
      <c r="AB130" s="45">
        <v>0</v>
      </c>
      <c r="AD130"/>
    </row>
    <row r="131" spans="1:30" ht="12.75" customHeight="1">
      <c r="A131" s="45"/>
      <c r="B131" s="45"/>
      <c r="C131" s="45"/>
      <c r="D131" s="45"/>
      <c r="E131" s="45"/>
      <c r="F131" s="45"/>
      <c r="G131" s="45"/>
      <c r="H131" s="45"/>
      <c r="I131" s="45"/>
      <c r="J131" s="45"/>
      <c r="K131" s="45"/>
      <c r="L131" s="46"/>
      <c r="M131" s="45"/>
      <c r="N131" s="45"/>
      <c r="O131" s="45"/>
      <c r="P131" s="47"/>
      <c r="Q131" s="45"/>
      <c r="R131" s="45"/>
      <c r="S131" s="45"/>
      <c r="T131" s="45"/>
      <c r="U131" s="45"/>
      <c r="V131" s="45"/>
      <c r="W131" s="45"/>
      <c r="X131" s="45"/>
      <c r="Y131" s="45"/>
      <c r="Z131" s="48" t="s">
        <v>642</v>
      </c>
      <c r="AA131" s="45" t="s">
        <v>642</v>
      </c>
      <c r="AB131" s="45">
        <v>0</v>
      </c>
      <c r="AD131"/>
    </row>
    <row r="132" spans="1:30" ht="12.75" customHeight="1">
      <c r="A132" s="45"/>
      <c r="B132" s="45"/>
      <c r="C132" s="45"/>
      <c r="D132" s="45"/>
      <c r="E132" s="45"/>
      <c r="F132" s="45"/>
      <c r="G132" s="45"/>
      <c r="H132" s="45"/>
      <c r="I132" s="45"/>
      <c r="J132" s="45"/>
      <c r="K132" s="45"/>
      <c r="L132" s="46"/>
      <c r="M132" s="45"/>
      <c r="N132" s="45"/>
      <c r="O132" s="45"/>
      <c r="P132" s="47"/>
      <c r="Q132" s="45"/>
      <c r="R132" s="45"/>
      <c r="S132" s="45"/>
      <c r="T132" s="45"/>
      <c r="U132" s="45"/>
      <c r="V132" s="45"/>
      <c r="W132" s="45"/>
      <c r="X132" s="45"/>
      <c r="Y132" s="45"/>
      <c r="Z132" s="48" t="s">
        <v>642</v>
      </c>
      <c r="AA132" s="45" t="s">
        <v>642</v>
      </c>
      <c r="AB132" s="45">
        <v>0</v>
      </c>
      <c r="AD132"/>
    </row>
    <row r="133" spans="1:30" ht="12.75" customHeight="1">
      <c r="A133" s="45"/>
      <c r="B133" s="45"/>
      <c r="C133" s="45"/>
      <c r="D133" s="45"/>
      <c r="E133" s="45"/>
      <c r="F133" s="45"/>
      <c r="G133" s="45"/>
      <c r="H133" s="45"/>
      <c r="I133" s="45"/>
      <c r="J133" s="45"/>
      <c r="K133" s="45"/>
      <c r="L133" s="46"/>
      <c r="M133" s="45"/>
      <c r="N133" s="45"/>
      <c r="O133" s="45"/>
      <c r="P133" s="47"/>
      <c r="Q133" s="45"/>
      <c r="R133" s="45"/>
      <c r="S133" s="45"/>
      <c r="T133" s="45"/>
      <c r="U133" s="45"/>
      <c r="V133" s="45"/>
      <c r="W133" s="45"/>
      <c r="X133" s="45"/>
      <c r="Y133" s="45"/>
      <c r="Z133" s="48" t="s">
        <v>642</v>
      </c>
      <c r="AA133" s="45" t="s">
        <v>642</v>
      </c>
      <c r="AB133" s="45">
        <v>0</v>
      </c>
      <c r="AD133"/>
    </row>
    <row r="134" spans="1:30" ht="12.75" customHeight="1">
      <c r="A134" s="45"/>
      <c r="B134" s="45"/>
      <c r="C134" s="45"/>
      <c r="D134" s="45"/>
      <c r="E134" s="45"/>
      <c r="F134" s="45"/>
      <c r="G134" s="45"/>
      <c r="H134" s="45"/>
      <c r="I134" s="45"/>
      <c r="J134" s="45"/>
      <c r="K134" s="45"/>
      <c r="L134" s="46"/>
      <c r="M134" s="45"/>
      <c r="N134" s="45"/>
      <c r="O134" s="45"/>
      <c r="P134" s="47"/>
      <c r="Q134" s="45"/>
      <c r="R134" s="45"/>
      <c r="S134" s="45"/>
      <c r="T134" s="45"/>
      <c r="U134" s="45"/>
      <c r="V134" s="45"/>
      <c r="W134" s="45"/>
      <c r="X134" s="45"/>
      <c r="Y134" s="45"/>
      <c r="Z134" s="48" t="s">
        <v>642</v>
      </c>
      <c r="AA134" s="45" t="s">
        <v>642</v>
      </c>
      <c r="AB134" s="45">
        <v>0</v>
      </c>
      <c r="AD134"/>
    </row>
    <row r="135" spans="1:30" ht="12.75" customHeight="1">
      <c r="A135" s="45"/>
      <c r="B135" s="45"/>
      <c r="C135" s="45"/>
      <c r="D135" s="45"/>
      <c r="E135" s="45"/>
      <c r="F135" s="45"/>
      <c r="G135" s="45"/>
      <c r="H135" s="45"/>
      <c r="I135" s="45"/>
      <c r="J135" s="45"/>
      <c r="K135" s="45"/>
      <c r="L135" s="46"/>
      <c r="M135" s="45"/>
      <c r="N135" s="45"/>
      <c r="O135" s="45"/>
      <c r="P135" s="47"/>
      <c r="Q135" s="45"/>
      <c r="R135" s="45"/>
      <c r="S135" s="45"/>
      <c r="T135" s="45"/>
      <c r="U135" s="45"/>
      <c r="V135" s="45"/>
      <c r="W135" s="45"/>
      <c r="X135" s="45"/>
      <c r="Y135" s="45"/>
      <c r="Z135" s="48" t="s">
        <v>642</v>
      </c>
      <c r="AA135" s="45" t="s">
        <v>642</v>
      </c>
      <c r="AB135" s="45">
        <v>0</v>
      </c>
      <c r="AD135"/>
    </row>
    <row r="136" spans="1:30" ht="12.75" customHeight="1">
      <c r="A136" s="45"/>
      <c r="B136" s="45"/>
      <c r="C136" s="45"/>
      <c r="D136" s="45"/>
      <c r="E136" s="45"/>
      <c r="F136" s="45"/>
      <c r="G136" s="45"/>
      <c r="H136" s="45"/>
      <c r="I136" s="45"/>
      <c r="J136" s="45"/>
      <c r="K136" s="45"/>
      <c r="L136" s="46"/>
      <c r="M136" s="45"/>
      <c r="N136" s="45"/>
      <c r="O136" s="45"/>
      <c r="P136" s="47"/>
      <c r="Q136" s="45"/>
      <c r="R136" s="45"/>
      <c r="S136" s="45"/>
      <c r="T136" s="45"/>
      <c r="U136" s="45"/>
      <c r="V136" s="45"/>
      <c r="W136" s="45"/>
      <c r="X136" s="45"/>
      <c r="Y136" s="45"/>
      <c r="Z136" s="48" t="s">
        <v>642</v>
      </c>
      <c r="AA136" s="45" t="s">
        <v>642</v>
      </c>
      <c r="AB136" s="45">
        <v>0</v>
      </c>
      <c r="AD136"/>
    </row>
    <row r="137" spans="1:30" ht="12.75" customHeight="1">
      <c r="A137" s="45"/>
      <c r="B137" s="45"/>
      <c r="C137" s="45"/>
      <c r="D137" s="45"/>
      <c r="E137" s="45"/>
      <c r="F137" s="45"/>
      <c r="G137" s="45"/>
      <c r="H137" s="45"/>
      <c r="I137" s="45"/>
      <c r="J137" s="45"/>
      <c r="K137" s="45"/>
      <c r="L137" s="46"/>
      <c r="M137" s="45"/>
      <c r="N137" s="45"/>
      <c r="O137" s="45"/>
      <c r="P137" s="47"/>
      <c r="Q137" s="45"/>
      <c r="R137" s="45"/>
      <c r="S137" s="45"/>
      <c r="T137" s="45"/>
      <c r="U137" s="45"/>
      <c r="V137" s="45"/>
      <c r="W137" s="45"/>
      <c r="X137" s="45"/>
      <c r="Y137" s="45"/>
      <c r="Z137" s="48" t="s">
        <v>642</v>
      </c>
      <c r="AA137" s="45" t="s">
        <v>642</v>
      </c>
      <c r="AB137" s="45">
        <v>0</v>
      </c>
      <c r="AD137"/>
    </row>
    <row r="138" spans="1:30" ht="12.75" customHeight="1">
      <c r="A138" s="45"/>
      <c r="B138" s="45"/>
      <c r="C138" s="45"/>
      <c r="D138" s="45"/>
      <c r="E138" s="45"/>
      <c r="F138" s="45"/>
      <c r="G138" s="45"/>
      <c r="H138" s="45"/>
      <c r="I138" s="45"/>
      <c r="J138" s="45"/>
      <c r="K138" s="45"/>
      <c r="L138" s="46"/>
      <c r="M138" s="45"/>
      <c r="N138" s="45"/>
      <c r="O138" s="45"/>
      <c r="P138" s="47"/>
      <c r="Q138" s="45"/>
      <c r="R138" s="45"/>
      <c r="S138" s="45"/>
      <c r="T138" s="45"/>
      <c r="U138" s="45"/>
      <c r="V138" s="45"/>
      <c r="W138" s="45"/>
      <c r="X138" s="45"/>
      <c r="Y138" s="45"/>
      <c r="Z138" s="48" t="s">
        <v>642</v>
      </c>
      <c r="AA138" s="45" t="s">
        <v>642</v>
      </c>
      <c r="AB138" s="45">
        <v>0</v>
      </c>
      <c r="AD138"/>
    </row>
    <row r="139" spans="1:30" ht="12.75" customHeight="1">
      <c r="A139" s="45"/>
      <c r="B139" s="45"/>
      <c r="C139" s="45"/>
      <c r="D139" s="45"/>
      <c r="E139" s="45"/>
      <c r="F139" s="45"/>
      <c r="G139" s="45"/>
      <c r="H139" s="45"/>
      <c r="I139" s="45"/>
      <c r="J139" s="45"/>
      <c r="K139" s="45"/>
      <c r="L139" s="46"/>
      <c r="M139" s="45"/>
      <c r="N139" s="45"/>
      <c r="O139" s="45"/>
      <c r="P139" s="47"/>
      <c r="Q139" s="45"/>
      <c r="R139" s="45"/>
      <c r="S139" s="45"/>
      <c r="T139" s="45"/>
      <c r="U139" s="45"/>
      <c r="V139" s="45"/>
      <c r="W139" s="45"/>
      <c r="X139" s="45"/>
      <c r="Y139" s="45"/>
      <c r="Z139" s="48" t="s">
        <v>642</v>
      </c>
      <c r="AA139" s="45" t="s">
        <v>642</v>
      </c>
      <c r="AB139" s="45">
        <v>0</v>
      </c>
      <c r="AD139"/>
    </row>
    <row r="140" spans="1:30" ht="12.75" customHeight="1">
      <c r="A140" s="45"/>
      <c r="B140" s="45"/>
      <c r="C140" s="45"/>
      <c r="D140" s="45"/>
      <c r="E140" s="45"/>
      <c r="F140" s="45"/>
      <c r="G140" s="45"/>
      <c r="H140" s="45"/>
      <c r="I140" s="45"/>
      <c r="J140" s="45"/>
      <c r="K140" s="45"/>
      <c r="L140" s="46"/>
      <c r="M140" s="45"/>
      <c r="N140" s="45"/>
      <c r="O140" s="45"/>
      <c r="P140" s="47"/>
      <c r="Q140" s="45"/>
      <c r="R140" s="45"/>
      <c r="S140" s="45"/>
      <c r="T140" s="45"/>
      <c r="U140" s="45"/>
      <c r="V140" s="45"/>
      <c r="W140" s="45"/>
      <c r="X140" s="45"/>
      <c r="Y140" s="45"/>
      <c r="Z140" s="48" t="s">
        <v>642</v>
      </c>
      <c r="AA140" s="45" t="s">
        <v>642</v>
      </c>
      <c r="AB140" s="45">
        <v>0</v>
      </c>
      <c r="AD140"/>
    </row>
    <row r="141" spans="1:30" ht="12.75" customHeight="1">
      <c r="A141" s="45"/>
      <c r="B141" s="45"/>
      <c r="C141" s="45"/>
      <c r="D141" s="45"/>
      <c r="E141" s="45"/>
      <c r="F141" s="45"/>
      <c r="G141" s="45"/>
      <c r="H141" s="45"/>
      <c r="I141" s="45"/>
      <c r="J141" s="45"/>
      <c r="K141" s="45"/>
      <c r="L141" s="46"/>
      <c r="M141" s="45"/>
      <c r="N141" s="45"/>
      <c r="O141" s="45"/>
      <c r="P141" s="47"/>
      <c r="Q141" s="45"/>
      <c r="R141" s="45"/>
      <c r="S141" s="45"/>
      <c r="T141" s="45"/>
      <c r="U141" s="45"/>
      <c r="V141" s="45"/>
      <c r="W141" s="45"/>
      <c r="X141" s="45"/>
      <c r="Y141" s="45"/>
      <c r="Z141" s="48" t="s">
        <v>642</v>
      </c>
      <c r="AA141" s="45" t="s">
        <v>642</v>
      </c>
      <c r="AB141" s="45">
        <v>0</v>
      </c>
      <c r="AD141"/>
    </row>
    <row r="142" spans="1:30" ht="12.75" customHeight="1">
      <c r="A142" s="45"/>
      <c r="B142" s="45"/>
      <c r="C142" s="45"/>
      <c r="D142" s="45"/>
      <c r="E142" s="45"/>
      <c r="F142" s="45"/>
      <c r="G142" s="45"/>
      <c r="H142" s="45"/>
      <c r="I142" s="45"/>
      <c r="J142" s="45"/>
      <c r="K142" s="45"/>
      <c r="L142" s="46"/>
      <c r="M142" s="45"/>
      <c r="N142" s="45"/>
      <c r="O142" s="45"/>
      <c r="P142" s="47"/>
      <c r="Q142" s="45"/>
      <c r="R142" s="45"/>
      <c r="S142" s="45"/>
      <c r="T142" s="45"/>
      <c r="U142" s="45"/>
      <c r="V142" s="45"/>
      <c r="W142" s="45"/>
      <c r="X142" s="45"/>
      <c r="Y142" s="45"/>
      <c r="Z142" s="48" t="s">
        <v>642</v>
      </c>
      <c r="AA142" s="45" t="s">
        <v>642</v>
      </c>
      <c r="AB142" s="45">
        <v>0</v>
      </c>
      <c r="AD142"/>
    </row>
    <row r="143" spans="1:30" ht="12.75" customHeight="1">
      <c r="A143" s="45"/>
      <c r="B143" s="45"/>
      <c r="C143" s="45"/>
      <c r="D143" s="45"/>
      <c r="E143" s="45"/>
      <c r="F143" s="45"/>
      <c r="G143" s="45"/>
      <c r="H143" s="45"/>
      <c r="I143" s="45"/>
      <c r="J143" s="45"/>
      <c r="K143" s="45"/>
      <c r="L143" s="46"/>
      <c r="M143" s="45"/>
      <c r="N143" s="45"/>
      <c r="O143" s="45"/>
      <c r="P143" s="47"/>
      <c r="Q143" s="45"/>
      <c r="R143" s="45"/>
      <c r="S143" s="45"/>
      <c r="T143" s="45"/>
      <c r="U143" s="45"/>
      <c r="V143" s="45"/>
      <c r="W143" s="45"/>
      <c r="X143" s="45"/>
      <c r="Y143" s="45"/>
      <c r="Z143" s="48" t="s">
        <v>642</v>
      </c>
      <c r="AA143" s="45" t="s">
        <v>642</v>
      </c>
      <c r="AB143" s="45">
        <v>0</v>
      </c>
      <c r="AD143"/>
    </row>
    <row r="144" spans="1:30" ht="12.75" customHeight="1">
      <c r="A144" s="45"/>
      <c r="B144" s="45"/>
      <c r="C144" s="45"/>
      <c r="D144" s="45"/>
      <c r="E144" s="45"/>
      <c r="F144" s="45"/>
      <c r="G144" s="45"/>
      <c r="H144" s="45"/>
      <c r="I144" s="45"/>
      <c r="J144" s="45"/>
      <c r="K144" s="45"/>
      <c r="L144" s="46"/>
      <c r="M144" s="45"/>
      <c r="N144" s="45"/>
      <c r="O144" s="45"/>
      <c r="P144" s="47"/>
      <c r="Q144" s="45"/>
      <c r="R144" s="45"/>
      <c r="S144" s="45"/>
      <c r="T144" s="45"/>
      <c r="U144" s="45"/>
      <c r="V144" s="45"/>
      <c r="W144" s="45"/>
      <c r="X144" s="45"/>
      <c r="Y144" s="45"/>
      <c r="Z144" s="48" t="s">
        <v>642</v>
      </c>
      <c r="AA144" s="45" t="s">
        <v>642</v>
      </c>
      <c r="AB144" s="45">
        <v>0</v>
      </c>
      <c r="AD144"/>
    </row>
    <row r="145" spans="1:30" ht="12.75" customHeight="1">
      <c r="A145" s="45"/>
      <c r="B145" s="45"/>
      <c r="C145" s="45"/>
      <c r="D145" s="45"/>
      <c r="E145" s="45"/>
      <c r="F145" s="45"/>
      <c r="G145" s="45"/>
      <c r="H145" s="45"/>
      <c r="I145" s="45"/>
      <c r="J145" s="45"/>
      <c r="K145" s="45"/>
      <c r="L145" s="46"/>
      <c r="M145" s="45"/>
      <c r="N145" s="45"/>
      <c r="O145" s="45"/>
      <c r="P145" s="47"/>
      <c r="Q145" s="45"/>
      <c r="R145" s="45"/>
      <c r="S145" s="45"/>
      <c r="T145" s="45"/>
      <c r="U145" s="45"/>
      <c r="V145" s="45"/>
      <c r="W145" s="45"/>
      <c r="X145" s="45"/>
      <c r="Y145" s="45"/>
      <c r="Z145" s="48" t="s">
        <v>642</v>
      </c>
      <c r="AA145" s="45" t="s">
        <v>642</v>
      </c>
      <c r="AB145" s="45">
        <v>0</v>
      </c>
      <c r="AD145"/>
    </row>
    <row r="146" spans="1:30" ht="12.75" customHeight="1">
      <c r="A146" s="45"/>
      <c r="B146" s="45"/>
      <c r="C146" s="45"/>
      <c r="D146" s="45"/>
      <c r="E146" s="45"/>
      <c r="F146" s="45"/>
      <c r="G146" s="45"/>
      <c r="H146" s="45"/>
      <c r="I146" s="45"/>
      <c r="J146" s="45"/>
      <c r="K146" s="45"/>
      <c r="L146" s="46"/>
      <c r="M146" s="45"/>
      <c r="N146" s="45"/>
      <c r="O146" s="45"/>
      <c r="P146" s="47"/>
      <c r="Q146" s="45"/>
      <c r="R146" s="45"/>
      <c r="S146" s="45"/>
      <c r="T146" s="45"/>
      <c r="U146" s="45"/>
      <c r="V146" s="45"/>
      <c r="W146" s="45"/>
      <c r="X146" s="45"/>
      <c r="Y146" s="45"/>
      <c r="Z146" s="48" t="s">
        <v>642</v>
      </c>
      <c r="AA146" s="45" t="s">
        <v>642</v>
      </c>
      <c r="AB146" s="45">
        <v>0</v>
      </c>
      <c r="AD146"/>
    </row>
    <row r="147" spans="1:30" ht="12.75" customHeight="1">
      <c r="A147" s="45"/>
      <c r="B147" s="45"/>
      <c r="C147" s="45"/>
      <c r="D147" s="45"/>
      <c r="E147" s="45"/>
      <c r="F147" s="45"/>
      <c r="G147" s="45"/>
      <c r="H147" s="45"/>
      <c r="I147" s="45"/>
      <c r="J147" s="45"/>
      <c r="K147" s="45"/>
      <c r="L147" s="46"/>
      <c r="M147" s="45"/>
      <c r="N147" s="45"/>
      <c r="O147" s="45"/>
      <c r="P147" s="47"/>
      <c r="Q147" s="45"/>
      <c r="R147" s="45"/>
      <c r="S147" s="45"/>
      <c r="T147" s="45"/>
      <c r="U147" s="45"/>
      <c r="V147" s="45"/>
      <c r="W147" s="45"/>
      <c r="X147" s="45"/>
      <c r="Y147" s="45"/>
      <c r="Z147" s="48" t="s">
        <v>642</v>
      </c>
      <c r="AA147" s="45" t="s">
        <v>642</v>
      </c>
      <c r="AB147" s="45">
        <v>0</v>
      </c>
      <c r="AD147"/>
    </row>
    <row r="148" spans="1:30" ht="12.75" customHeight="1">
      <c r="A148" s="45"/>
      <c r="B148" s="45"/>
      <c r="C148" s="45"/>
      <c r="D148" s="45"/>
      <c r="E148" s="45"/>
      <c r="F148" s="45"/>
      <c r="G148" s="45"/>
      <c r="H148" s="45"/>
      <c r="I148" s="45"/>
      <c r="J148" s="45"/>
      <c r="K148" s="45"/>
      <c r="L148" s="46"/>
      <c r="M148" s="45"/>
      <c r="N148" s="45"/>
      <c r="O148" s="45"/>
      <c r="P148" s="47"/>
      <c r="Q148" s="45"/>
      <c r="R148" s="45"/>
      <c r="S148" s="45"/>
      <c r="T148" s="45"/>
      <c r="U148" s="45"/>
      <c r="V148" s="45"/>
      <c r="W148" s="45"/>
      <c r="X148" s="45"/>
      <c r="Y148" s="45"/>
      <c r="Z148" s="48" t="s">
        <v>642</v>
      </c>
      <c r="AA148" s="45" t="s">
        <v>642</v>
      </c>
      <c r="AB148" s="45">
        <v>0</v>
      </c>
      <c r="AD148"/>
    </row>
    <row r="149" spans="1:30" ht="12.75" customHeight="1">
      <c r="A149" s="45"/>
      <c r="B149" s="45"/>
      <c r="C149" s="45"/>
      <c r="D149" s="45"/>
      <c r="E149" s="45"/>
      <c r="F149" s="45"/>
      <c r="G149" s="45"/>
      <c r="H149" s="45"/>
      <c r="I149" s="45"/>
      <c r="J149" s="45"/>
      <c r="K149" s="45"/>
      <c r="L149" s="46"/>
      <c r="M149" s="45"/>
      <c r="N149" s="45"/>
      <c r="O149" s="45"/>
      <c r="P149" s="47"/>
      <c r="Q149" s="45"/>
      <c r="R149" s="45"/>
      <c r="S149" s="45"/>
      <c r="T149" s="45"/>
      <c r="U149" s="45"/>
      <c r="V149" s="45"/>
      <c r="W149" s="45"/>
      <c r="X149" s="45"/>
      <c r="Y149" s="45"/>
      <c r="Z149" s="48" t="s">
        <v>642</v>
      </c>
      <c r="AA149" s="45" t="s">
        <v>642</v>
      </c>
      <c r="AB149" s="45">
        <v>0</v>
      </c>
      <c r="AD149"/>
    </row>
    <row r="150" spans="1:30" ht="12.75" customHeight="1">
      <c r="A150" s="45"/>
      <c r="B150" s="45"/>
      <c r="C150" s="45"/>
      <c r="D150" s="45"/>
      <c r="E150" s="45"/>
      <c r="F150" s="45"/>
      <c r="G150" s="45"/>
      <c r="H150" s="45"/>
      <c r="I150" s="45"/>
      <c r="J150" s="45"/>
      <c r="K150" s="45"/>
      <c r="L150" s="46"/>
      <c r="M150" s="45"/>
      <c r="N150" s="45"/>
      <c r="O150" s="45"/>
      <c r="P150" s="47"/>
      <c r="Q150" s="45"/>
      <c r="R150" s="45"/>
      <c r="S150" s="45"/>
      <c r="T150" s="45"/>
      <c r="U150" s="45"/>
      <c r="V150" s="45"/>
      <c r="W150" s="45"/>
      <c r="X150" s="45"/>
      <c r="Y150" s="45"/>
      <c r="Z150" s="48" t="s">
        <v>642</v>
      </c>
      <c r="AA150" s="45" t="s">
        <v>642</v>
      </c>
      <c r="AB150" s="45">
        <v>0</v>
      </c>
      <c r="AD150"/>
    </row>
    <row r="151" spans="1:30" ht="12.75" customHeight="1">
      <c r="A151" s="45"/>
      <c r="B151" s="45"/>
      <c r="C151" s="45"/>
      <c r="D151" s="45"/>
      <c r="E151" s="45"/>
      <c r="F151" s="45"/>
      <c r="G151" s="45"/>
      <c r="H151" s="45"/>
      <c r="I151" s="45"/>
      <c r="J151" s="45"/>
      <c r="K151" s="45"/>
      <c r="L151" s="46"/>
      <c r="M151" s="45"/>
      <c r="N151" s="45"/>
      <c r="O151" s="45"/>
      <c r="P151" s="47"/>
      <c r="Q151" s="45"/>
      <c r="R151" s="45"/>
      <c r="S151" s="45"/>
      <c r="T151" s="45"/>
      <c r="U151" s="45"/>
      <c r="V151" s="45"/>
      <c r="W151" s="45"/>
      <c r="X151" s="45"/>
      <c r="Y151" s="45"/>
      <c r="Z151" s="48" t="s">
        <v>642</v>
      </c>
      <c r="AA151" s="45" t="s">
        <v>642</v>
      </c>
      <c r="AB151" s="45">
        <v>0</v>
      </c>
      <c r="AD151"/>
    </row>
    <row r="152" spans="1:30" ht="12.75" customHeight="1">
      <c r="A152" s="45"/>
      <c r="B152" s="45"/>
      <c r="C152" s="45"/>
      <c r="D152" s="45"/>
      <c r="E152" s="45"/>
      <c r="F152" s="45"/>
      <c r="G152" s="45"/>
      <c r="H152" s="45"/>
      <c r="I152" s="45"/>
      <c r="J152" s="45"/>
      <c r="K152" s="45"/>
      <c r="L152" s="46"/>
      <c r="M152" s="45"/>
      <c r="N152" s="45"/>
      <c r="O152" s="45"/>
      <c r="P152" s="47"/>
      <c r="Q152" s="45"/>
      <c r="R152" s="45"/>
      <c r="S152" s="45"/>
      <c r="T152" s="45"/>
      <c r="U152" s="45"/>
      <c r="V152" s="45"/>
      <c r="W152" s="45"/>
      <c r="X152" s="45"/>
      <c r="Y152" s="45"/>
      <c r="Z152" s="48" t="s">
        <v>642</v>
      </c>
      <c r="AA152" s="45" t="s">
        <v>642</v>
      </c>
      <c r="AB152" s="45">
        <v>0</v>
      </c>
      <c r="AD152"/>
    </row>
    <row r="153" spans="1:30" ht="12.75" customHeight="1">
      <c r="A153" s="45"/>
      <c r="B153" s="45"/>
      <c r="C153" s="45"/>
      <c r="D153" s="45"/>
      <c r="E153" s="45"/>
      <c r="F153" s="45"/>
      <c r="G153" s="45"/>
      <c r="H153" s="45"/>
      <c r="I153" s="45"/>
      <c r="J153" s="45"/>
      <c r="K153" s="45"/>
      <c r="L153" s="46"/>
      <c r="M153" s="45"/>
      <c r="N153" s="45"/>
      <c r="O153" s="45"/>
      <c r="P153" s="47"/>
      <c r="Q153" s="45"/>
      <c r="R153" s="45"/>
      <c r="S153" s="45"/>
      <c r="T153" s="45"/>
      <c r="U153" s="45"/>
      <c r="V153" s="45"/>
      <c r="W153" s="45"/>
      <c r="X153" s="45"/>
      <c r="Y153" s="45"/>
      <c r="Z153" s="48" t="s">
        <v>642</v>
      </c>
      <c r="AA153" s="45" t="s">
        <v>642</v>
      </c>
      <c r="AB153" s="45">
        <v>0</v>
      </c>
      <c r="AD153"/>
    </row>
    <row r="154" spans="1:30" ht="12.75" customHeight="1">
      <c r="A154" s="45"/>
      <c r="B154" s="45"/>
      <c r="C154" s="45"/>
      <c r="D154" s="45"/>
      <c r="E154" s="45"/>
      <c r="F154" s="45"/>
      <c r="G154" s="45"/>
      <c r="H154" s="45"/>
      <c r="I154" s="45"/>
      <c r="J154" s="45"/>
      <c r="K154" s="45"/>
      <c r="L154" s="46"/>
      <c r="M154" s="45"/>
      <c r="N154" s="45"/>
      <c r="O154" s="45"/>
      <c r="P154" s="47"/>
      <c r="Q154" s="45"/>
      <c r="R154" s="45"/>
      <c r="S154" s="45"/>
      <c r="T154" s="45"/>
      <c r="U154" s="45"/>
      <c r="V154" s="45"/>
      <c r="W154" s="45"/>
      <c r="X154" s="45"/>
      <c r="Y154" s="45"/>
      <c r="Z154" s="48" t="s">
        <v>642</v>
      </c>
      <c r="AA154" s="45" t="s">
        <v>642</v>
      </c>
      <c r="AB154" s="45">
        <v>0</v>
      </c>
      <c r="AD154"/>
    </row>
    <row r="155" spans="1:30" ht="12.75" customHeight="1">
      <c r="A155" s="45"/>
      <c r="B155" s="45"/>
      <c r="C155" s="45"/>
      <c r="D155" s="45"/>
      <c r="E155" s="45"/>
      <c r="F155" s="45"/>
      <c r="G155" s="45"/>
      <c r="H155" s="45"/>
      <c r="I155" s="45"/>
      <c r="J155" s="45"/>
      <c r="K155" s="45"/>
      <c r="L155" s="46"/>
      <c r="M155" s="45"/>
      <c r="N155" s="45"/>
      <c r="O155" s="45"/>
      <c r="P155" s="47"/>
      <c r="Q155" s="45"/>
      <c r="R155" s="45"/>
      <c r="S155" s="45"/>
      <c r="T155" s="45"/>
      <c r="U155" s="45"/>
      <c r="V155" s="45"/>
      <c r="W155" s="45"/>
      <c r="X155" s="45"/>
      <c r="Y155" s="45"/>
      <c r="Z155" s="48" t="s">
        <v>642</v>
      </c>
      <c r="AA155" s="45" t="s">
        <v>642</v>
      </c>
      <c r="AB155" s="45">
        <v>0</v>
      </c>
      <c r="AD155"/>
    </row>
    <row r="156" spans="1:30" ht="12.75" customHeight="1">
      <c r="A156" s="45"/>
      <c r="B156" s="45"/>
      <c r="C156" s="45"/>
      <c r="D156" s="45"/>
      <c r="E156" s="45"/>
      <c r="F156" s="45"/>
      <c r="G156" s="45"/>
      <c r="H156" s="45"/>
      <c r="I156" s="45"/>
      <c r="J156" s="45"/>
      <c r="K156" s="45"/>
      <c r="L156" s="46"/>
      <c r="M156" s="45"/>
      <c r="N156" s="45"/>
      <c r="O156" s="45"/>
      <c r="P156" s="47"/>
      <c r="Q156" s="45"/>
      <c r="R156" s="45"/>
      <c r="S156" s="45"/>
      <c r="T156" s="45"/>
      <c r="U156" s="45"/>
      <c r="V156" s="45"/>
      <c r="W156" s="45"/>
      <c r="X156" s="45"/>
      <c r="Y156" s="45"/>
      <c r="Z156" s="48" t="s">
        <v>642</v>
      </c>
      <c r="AA156" s="45" t="s">
        <v>642</v>
      </c>
      <c r="AB156" s="45">
        <v>0</v>
      </c>
      <c r="AD156"/>
    </row>
    <row r="157" spans="1:30" ht="12.75" customHeight="1">
      <c r="A157" s="45"/>
      <c r="B157" s="45"/>
      <c r="C157" s="45"/>
      <c r="D157" s="45"/>
      <c r="E157" s="45"/>
      <c r="F157" s="45"/>
      <c r="G157" s="45"/>
      <c r="H157" s="45"/>
      <c r="I157" s="45"/>
      <c r="J157" s="45"/>
      <c r="K157" s="45"/>
      <c r="L157" s="46"/>
      <c r="M157" s="45"/>
      <c r="N157" s="45"/>
      <c r="O157" s="45"/>
      <c r="P157" s="47"/>
      <c r="Q157" s="45"/>
      <c r="R157" s="45"/>
      <c r="S157" s="45"/>
      <c r="T157" s="45"/>
      <c r="U157" s="45"/>
      <c r="V157" s="45"/>
      <c r="W157" s="45"/>
      <c r="X157" s="45"/>
      <c r="Y157" s="45"/>
      <c r="Z157" s="48" t="s">
        <v>642</v>
      </c>
      <c r="AA157" s="45" t="s">
        <v>642</v>
      </c>
      <c r="AB157" s="45">
        <v>0</v>
      </c>
      <c r="AD157"/>
    </row>
    <row r="158" spans="1:30" ht="12.75" customHeight="1">
      <c r="A158" s="45"/>
      <c r="B158" s="45"/>
      <c r="C158" s="45"/>
      <c r="D158" s="45"/>
      <c r="E158" s="45"/>
      <c r="F158" s="45"/>
      <c r="G158" s="45"/>
      <c r="H158" s="45"/>
      <c r="I158" s="45"/>
      <c r="J158" s="45"/>
      <c r="K158" s="45"/>
      <c r="L158" s="46"/>
      <c r="M158" s="45"/>
      <c r="N158" s="45"/>
      <c r="O158" s="45"/>
      <c r="P158" s="47"/>
      <c r="Q158" s="45"/>
      <c r="R158" s="45"/>
      <c r="S158" s="45"/>
      <c r="T158" s="45"/>
      <c r="U158" s="45"/>
      <c r="V158" s="45"/>
      <c r="W158" s="45"/>
      <c r="X158" s="45"/>
      <c r="Y158" s="45"/>
      <c r="Z158" s="48" t="s">
        <v>642</v>
      </c>
      <c r="AA158" s="45" t="s">
        <v>642</v>
      </c>
      <c r="AB158" s="45">
        <v>0</v>
      </c>
      <c r="AD158"/>
    </row>
    <row r="159" spans="1:30" ht="12.75" customHeight="1">
      <c r="A159" s="45"/>
      <c r="B159" s="45"/>
      <c r="C159" s="45"/>
      <c r="D159" s="45"/>
      <c r="E159" s="45"/>
      <c r="F159" s="45"/>
      <c r="G159" s="45"/>
      <c r="H159" s="45"/>
      <c r="I159" s="45"/>
      <c r="J159" s="45"/>
      <c r="K159" s="45"/>
      <c r="L159" s="46"/>
      <c r="M159" s="45"/>
      <c r="N159" s="45"/>
      <c r="O159" s="45"/>
      <c r="P159" s="47"/>
      <c r="Q159" s="45"/>
      <c r="R159" s="45"/>
      <c r="S159" s="45"/>
      <c r="T159" s="45"/>
      <c r="U159" s="45"/>
      <c r="V159" s="45"/>
      <c r="W159" s="45"/>
      <c r="X159" s="45"/>
      <c r="Y159" s="45"/>
      <c r="Z159" s="48" t="s">
        <v>642</v>
      </c>
      <c r="AA159" s="45" t="s">
        <v>642</v>
      </c>
      <c r="AB159" s="45">
        <v>0</v>
      </c>
      <c r="AD159"/>
    </row>
    <row r="160" spans="1:30" ht="12.75" customHeight="1">
      <c r="A160" s="45"/>
      <c r="B160" s="45"/>
      <c r="C160" s="45"/>
      <c r="D160" s="45"/>
      <c r="E160" s="45"/>
      <c r="F160" s="45"/>
      <c r="G160" s="45"/>
      <c r="H160" s="45"/>
      <c r="I160" s="45"/>
      <c r="J160" s="45"/>
      <c r="K160" s="45"/>
      <c r="L160" s="46"/>
      <c r="M160" s="45"/>
      <c r="N160" s="45"/>
      <c r="O160" s="45"/>
      <c r="P160" s="47"/>
      <c r="Q160" s="45"/>
      <c r="R160" s="45"/>
      <c r="S160" s="45"/>
      <c r="T160" s="45"/>
      <c r="U160" s="45"/>
      <c r="V160" s="45"/>
      <c r="W160" s="45"/>
      <c r="X160" s="45"/>
      <c r="Y160" s="45"/>
      <c r="Z160" s="48" t="s">
        <v>642</v>
      </c>
      <c r="AA160" s="45" t="s">
        <v>642</v>
      </c>
      <c r="AB160" s="45">
        <v>0</v>
      </c>
      <c r="AD160"/>
    </row>
    <row r="161" spans="1:30" ht="12.75" customHeight="1">
      <c r="A161" s="45"/>
      <c r="B161" s="45"/>
      <c r="C161" s="45"/>
      <c r="D161" s="45"/>
      <c r="E161" s="45"/>
      <c r="F161" s="45"/>
      <c r="G161" s="45"/>
      <c r="H161" s="45"/>
      <c r="I161" s="45"/>
      <c r="J161" s="45"/>
      <c r="K161" s="45"/>
      <c r="L161" s="46"/>
      <c r="M161" s="45"/>
      <c r="N161" s="45"/>
      <c r="O161" s="45"/>
      <c r="P161" s="47"/>
      <c r="Q161" s="45"/>
      <c r="R161" s="45"/>
      <c r="S161" s="45"/>
      <c r="T161" s="45"/>
      <c r="U161" s="45"/>
      <c r="V161" s="45"/>
      <c r="W161" s="45"/>
      <c r="X161" s="45"/>
      <c r="Y161" s="45"/>
      <c r="Z161" s="48" t="s">
        <v>642</v>
      </c>
      <c r="AA161" s="45" t="s">
        <v>642</v>
      </c>
      <c r="AB161" s="45">
        <v>0</v>
      </c>
      <c r="AD161"/>
    </row>
    <row r="162" spans="1:30" ht="12.75" customHeight="1">
      <c r="A162" s="45"/>
      <c r="B162" s="45"/>
      <c r="C162" s="45"/>
      <c r="D162" s="45"/>
      <c r="E162" s="45"/>
      <c r="F162" s="45"/>
      <c r="G162" s="45"/>
      <c r="H162" s="45"/>
      <c r="I162" s="45"/>
      <c r="J162" s="45"/>
      <c r="K162" s="45"/>
      <c r="L162" s="46"/>
      <c r="M162" s="45"/>
      <c r="N162" s="45"/>
      <c r="O162" s="45"/>
      <c r="P162" s="47"/>
      <c r="Q162" s="45"/>
      <c r="R162" s="45"/>
      <c r="S162" s="45"/>
      <c r="T162" s="45"/>
      <c r="U162" s="45"/>
      <c r="V162" s="45"/>
      <c r="W162" s="45"/>
      <c r="X162" s="45"/>
      <c r="Y162" s="45"/>
      <c r="Z162" s="48" t="s">
        <v>642</v>
      </c>
      <c r="AA162" s="45" t="s">
        <v>642</v>
      </c>
      <c r="AB162" s="45">
        <v>0</v>
      </c>
      <c r="AD162"/>
    </row>
    <row r="163" spans="1:30" ht="12.75" customHeight="1">
      <c r="A163" s="45"/>
      <c r="B163" s="45"/>
      <c r="C163" s="45"/>
      <c r="D163" s="45"/>
      <c r="E163" s="45"/>
      <c r="F163" s="45"/>
      <c r="G163" s="45"/>
      <c r="H163" s="45"/>
      <c r="I163" s="45"/>
      <c r="J163" s="45"/>
      <c r="K163" s="45"/>
      <c r="L163" s="46"/>
      <c r="M163" s="45"/>
      <c r="N163" s="45"/>
      <c r="O163" s="45"/>
      <c r="P163" s="47"/>
      <c r="Q163" s="45"/>
      <c r="R163" s="45"/>
      <c r="S163" s="45"/>
      <c r="T163" s="45"/>
      <c r="U163" s="45"/>
      <c r="V163" s="45"/>
      <c r="W163" s="45"/>
      <c r="X163" s="45"/>
      <c r="Y163" s="45"/>
      <c r="Z163" s="48" t="s">
        <v>642</v>
      </c>
      <c r="AA163" s="45" t="s">
        <v>642</v>
      </c>
      <c r="AB163" s="45">
        <v>0</v>
      </c>
      <c r="AD163"/>
    </row>
    <row r="164" spans="1:30" ht="12.75" customHeight="1">
      <c r="A164" s="45"/>
      <c r="B164" s="45"/>
      <c r="C164" s="45"/>
      <c r="D164" s="45"/>
      <c r="E164" s="45"/>
      <c r="F164" s="45"/>
      <c r="G164" s="45"/>
      <c r="H164" s="45"/>
      <c r="I164" s="45"/>
      <c r="J164" s="45"/>
      <c r="K164" s="45"/>
      <c r="L164" s="46"/>
      <c r="M164" s="45"/>
      <c r="N164" s="45"/>
      <c r="O164" s="45"/>
      <c r="P164" s="47"/>
      <c r="Q164" s="45"/>
      <c r="R164" s="45"/>
      <c r="S164" s="45"/>
      <c r="T164" s="45"/>
      <c r="U164" s="45"/>
      <c r="V164" s="45"/>
      <c r="W164" s="45"/>
      <c r="X164" s="45"/>
      <c r="Y164" s="45"/>
      <c r="Z164" s="48" t="s">
        <v>642</v>
      </c>
      <c r="AA164" s="45" t="s">
        <v>642</v>
      </c>
      <c r="AB164" s="45">
        <v>0</v>
      </c>
      <c r="AD164"/>
    </row>
    <row r="165" spans="1:30" ht="12.75" customHeight="1">
      <c r="A165" s="45"/>
      <c r="B165" s="45"/>
      <c r="C165" s="45"/>
      <c r="D165" s="45"/>
      <c r="E165" s="45"/>
      <c r="F165" s="45"/>
      <c r="G165" s="45"/>
      <c r="H165" s="45"/>
      <c r="I165" s="45"/>
      <c r="J165" s="45"/>
      <c r="K165" s="45"/>
      <c r="L165" s="46"/>
      <c r="M165" s="45"/>
      <c r="N165" s="45"/>
      <c r="O165" s="45"/>
      <c r="P165" s="47"/>
      <c r="Q165" s="45"/>
      <c r="R165" s="45"/>
      <c r="S165" s="45"/>
      <c r="T165" s="45"/>
      <c r="U165" s="45"/>
      <c r="V165" s="45"/>
      <c r="W165" s="45"/>
      <c r="X165" s="45"/>
      <c r="Y165" s="45"/>
      <c r="Z165" s="48" t="s">
        <v>642</v>
      </c>
      <c r="AA165" s="45" t="s">
        <v>642</v>
      </c>
      <c r="AB165" s="45">
        <v>0</v>
      </c>
      <c r="AD165"/>
    </row>
    <row r="166" spans="1:30" ht="12.75" customHeight="1">
      <c r="A166" s="45"/>
      <c r="B166" s="45"/>
      <c r="C166" s="45"/>
      <c r="D166" s="45"/>
      <c r="E166" s="45"/>
      <c r="F166" s="45"/>
      <c r="G166" s="45"/>
      <c r="H166" s="45"/>
      <c r="I166" s="45"/>
      <c r="J166" s="45"/>
      <c r="K166" s="45"/>
      <c r="L166" s="46"/>
      <c r="M166" s="45"/>
      <c r="N166" s="45"/>
      <c r="O166" s="45"/>
      <c r="P166" s="47"/>
      <c r="Q166" s="45"/>
      <c r="R166" s="45"/>
      <c r="S166" s="45"/>
      <c r="T166" s="45"/>
      <c r="U166" s="45"/>
      <c r="V166" s="45"/>
      <c r="W166" s="45"/>
      <c r="X166" s="45"/>
      <c r="Y166" s="45"/>
      <c r="Z166" s="48" t="s">
        <v>642</v>
      </c>
      <c r="AA166" s="45" t="s">
        <v>642</v>
      </c>
      <c r="AB166" s="45">
        <v>0</v>
      </c>
      <c r="AD166"/>
    </row>
    <row r="167" spans="1:30" ht="12.75" customHeight="1">
      <c r="A167" s="45"/>
      <c r="B167" s="45"/>
      <c r="C167" s="45"/>
      <c r="D167" s="45"/>
      <c r="E167" s="45"/>
      <c r="F167" s="45"/>
      <c r="G167" s="45"/>
      <c r="H167" s="45"/>
      <c r="I167" s="45"/>
      <c r="J167" s="45"/>
      <c r="K167" s="45"/>
      <c r="L167" s="46"/>
      <c r="M167" s="45"/>
      <c r="N167" s="45"/>
      <c r="O167" s="45"/>
      <c r="P167" s="47"/>
      <c r="Q167" s="45"/>
      <c r="R167" s="45"/>
      <c r="S167" s="45"/>
      <c r="T167" s="45"/>
      <c r="U167" s="45"/>
      <c r="V167" s="45"/>
      <c r="W167" s="45"/>
      <c r="X167" s="45"/>
      <c r="Y167" s="45"/>
      <c r="Z167" s="48" t="s">
        <v>642</v>
      </c>
      <c r="AA167" s="45" t="s">
        <v>642</v>
      </c>
      <c r="AB167" s="45">
        <v>0</v>
      </c>
      <c r="AD167"/>
    </row>
    <row r="168" spans="1:30" ht="12.75" customHeight="1">
      <c r="A168" s="45"/>
      <c r="B168" s="45"/>
      <c r="C168" s="45"/>
      <c r="D168" s="45"/>
      <c r="E168" s="45"/>
      <c r="F168" s="45"/>
      <c r="G168" s="45"/>
      <c r="H168" s="45"/>
      <c r="I168" s="45"/>
      <c r="J168" s="45"/>
      <c r="K168" s="45"/>
      <c r="L168" s="46"/>
      <c r="M168" s="45"/>
      <c r="N168" s="45"/>
      <c r="O168" s="45"/>
      <c r="P168" s="47"/>
      <c r="Q168" s="45"/>
      <c r="R168" s="45"/>
      <c r="S168" s="45"/>
      <c r="T168" s="45"/>
      <c r="U168" s="45"/>
      <c r="V168" s="45"/>
      <c r="W168" s="45"/>
      <c r="X168" s="45"/>
      <c r="Y168" s="45"/>
      <c r="Z168" s="48" t="s">
        <v>642</v>
      </c>
      <c r="AA168" s="45" t="s">
        <v>642</v>
      </c>
      <c r="AB168" s="45">
        <v>0</v>
      </c>
      <c r="AD168"/>
    </row>
    <row r="169" spans="1:30" ht="12.75" customHeight="1">
      <c r="A169" s="45"/>
      <c r="B169" s="45"/>
      <c r="C169" s="45"/>
      <c r="D169" s="45"/>
      <c r="E169" s="45"/>
      <c r="F169" s="45"/>
      <c r="G169" s="45"/>
      <c r="H169" s="45"/>
      <c r="I169" s="45"/>
      <c r="J169" s="45"/>
      <c r="K169" s="45"/>
      <c r="L169" s="46"/>
      <c r="M169" s="45"/>
      <c r="N169" s="45"/>
      <c r="O169" s="45"/>
      <c r="P169" s="47"/>
      <c r="Q169" s="45"/>
      <c r="R169" s="45"/>
      <c r="S169" s="45"/>
      <c r="T169" s="45"/>
      <c r="U169" s="45"/>
      <c r="V169" s="45"/>
      <c r="W169" s="45"/>
      <c r="X169" s="45"/>
      <c r="Y169" s="45"/>
      <c r="Z169" s="48" t="s">
        <v>642</v>
      </c>
      <c r="AA169" s="45" t="s">
        <v>642</v>
      </c>
      <c r="AB169" s="45">
        <v>0</v>
      </c>
      <c r="AD169"/>
    </row>
    <row r="170" spans="1:30" ht="12.75" customHeight="1">
      <c r="A170" s="45"/>
      <c r="B170" s="45"/>
      <c r="C170" s="45"/>
      <c r="D170" s="45"/>
      <c r="E170" s="45"/>
      <c r="F170" s="45"/>
      <c r="G170" s="45"/>
      <c r="H170" s="45"/>
      <c r="I170" s="45"/>
      <c r="J170" s="45"/>
      <c r="K170" s="45"/>
      <c r="L170" s="46"/>
      <c r="M170" s="45"/>
      <c r="N170" s="45"/>
      <c r="O170" s="45"/>
      <c r="P170" s="47"/>
      <c r="Q170" s="45"/>
      <c r="R170" s="45"/>
      <c r="S170" s="45"/>
      <c r="T170" s="45"/>
      <c r="U170" s="45"/>
      <c r="V170" s="45"/>
      <c r="W170" s="45"/>
      <c r="X170" s="45"/>
      <c r="Y170" s="45"/>
      <c r="Z170" s="48" t="s">
        <v>642</v>
      </c>
      <c r="AA170" s="45" t="s">
        <v>642</v>
      </c>
      <c r="AB170" s="45">
        <v>0</v>
      </c>
      <c r="AD170"/>
    </row>
    <row r="171" spans="1:30" ht="12.75" customHeight="1">
      <c r="A171" s="45"/>
      <c r="B171" s="45"/>
      <c r="C171" s="45"/>
      <c r="D171" s="45"/>
      <c r="E171" s="45"/>
      <c r="F171" s="45"/>
      <c r="G171" s="45"/>
      <c r="H171" s="45"/>
      <c r="I171" s="45"/>
      <c r="J171" s="45"/>
      <c r="K171" s="45"/>
      <c r="L171" s="46"/>
      <c r="M171" s="45"/>
      <c r="N171" s="45"/>
      <c r="O171" s="45"/>
      <c r="P171" s="47"/>
      <c r="Q171" s="45"/>
      <c r="R171" s="45"/>
      <c r="S171" s="45"/>
      <c r="T171" s="45"/>
      <c r="U171" s="45"/>
      <c r="V171" s="45"/>
      <c r="W171" s="45"/>
      <c r="X171" s="45"/>
      <c r="Y171" s="45"/>
      <c r="Z171" s="48" t="s">
        <v>642</v>
      </c>
      <c r="AA171" s="45" t="s">
        <v>642</v>
      </c>
      <c r="AB171" s="45">
        <v>0</v>
      </c>
      <c r="AD171"/>
    </row>
    <row r="172" spans="1:30" ht="12.75" customHeight="1">
      <c r="A172" s="45"/>
      <c r="B172" s="45"/>
      <c r="C172" s="45"/>
      <c r="D172" s="45"/>
      <c r="E172" s="45"/>
      <c r="F172" s="45"/>
      <c r="G172" s="45"/>
      <c r="H172" s="45"/>
      <c r="I172" s="45"/>
      <c r="J172" s="45"/>
      <c r="K172" s="45"/>
      <c r="L172" s="46"/>
      <c r="M172" s="45"/>
      <c r="N172" s="45"/>
      <c r="O172" s="45"/>
      <c r="P172" s="47"/>
      <c r="Q172" s="45"/>
      <c r="R172" s="45"/>
      <c r="S172" s="45"/>
      <c r="T172" s="45"/>
      <c r="U172" s="45"/>
      <c r="V172" s="45"/>
      <c r="W172" s="45"/>
      <c r="X172" s="45"/>
      <c r="Y172" s="45"/>
      <c r="Z172" s="48" t="s">
        <v>642</v>
      </c>
      <c r="AA172" s="45" t="s">
        <v>642</v>
      </c>
      <c r="AB172" s="45">
        <v>0</v>
      </c>
      <c r="AD172"/>
    </row>
    <row r="173" spans="1:30" ht="12.75" customHeight="1">
      <c r="A173" s="45"/>
      <c r="B173" s="45"/>
      <c r="C173" s="45"/>
      <c r="D173" s="45"/>
      <c r="E173" s="45"/>
      <c r="F173" s="45"/>
      <c r="G173" s="45"/>
      <c r="H173" s="45"/>
      <c r="I173" s="45"/>
      <c r="J173" s="45"/>
      <c r="K173" s="45"/>
      <c r="L173" s="46"/>
      <c r="M173" s="45"/>
      <c r="N173" s="45"/>
      <c r="O173" s="45"/>
      <c r="P173" s="47"/>
      <c r="Q173" s="45"/>
      <c r="R173" s="45"/>
      <c r="S173" s="45"/>
      <c r="T173" s="45"/>
      <c r="U173" s="45"/>
      <c r="V173" s="45"/>
      <c r="W173" s="45"/>
      <c r="X173" s="45"/>
      <c r="Y173" s="45"/>
      <c r="Z173" s="48" t="s">
        <v>642</v>
      </c>
      <c r="AA173" s="45" t="s">
        <v>642</v>
      </c>
      <c r="AB173" s="45">
        <v>0</v>
      </c>
      <c r="AD173"/>
    </row>
    <row r="174" spans="1:30" ht="12.75" customHeight="1">
      <c r="A174" s="45"/>
      <c r="B174" s="45"/>
      <c r="C174" s="45"/>
      <c r="D174" s="45"/>
      <c r="E174" s="45"/>
      <c r="F174" s="45"/>
      <c r="G174" s="45"/>
      <c r="H174" s="45"/>
      <c r="I174" s="45"/>
      <c r="J174" s="45"/>
      <c r="K174" s="45"/>
      <c r="L174" s="46"/>
      <c r="M174" s="45"/>
      <c r="N174" s="45"/>
      <c r="O174" s="45"/>
      <c r="P174" s="47"/>
      <c r="Q174" s="45"/>
      <c r="R174" s="45"/>
      <c r="S174" s="45"/>
      <c r="T174" s="45"/>
      <c r="U174" s="45"/>
      <c r="V174" s="45"/>
      <c r="W174" s="45"/>
      <c r="X174" s="45"/>
      <c r="Y174" s="45"/>
      <c r="Z174" s="48" t="s">
        <v>642</v>
      </c>
      <c r="AA174" s="45" t="s">
        <v>642</v>
      </c>
      <c r="AB174" s="45">
        <v>0</v>
      </c>
      <c r="AD174"/>
    </row>
    <row r="175" spans="1:30" ht="12.75" customHeight="1">
      <c r="A175" s="45"/>
      <c r="B175" s="45"/>
      <c r="C175" s="45"/>
      <c r="D175" s="45"/>
      <c r="E175" s="45"/>
      <c r="F175" s="45"/>
      <c r="G175" s="45"/>
      <c r="H175" s="45"/>
      <c r="I175" s="45"/>
      <c r="J175" s="45"/>
      <c r="K175" s="45"/>
      <c r="L175" s="46"/>
      <c r="M175" s="45"/>
      <c r="N175" s="45"/>
      <c r="O175" s="45"/>
      <c r="P175" s="47"/>
      <c r="Q175" s="45"/>
      <c r="R175" s="45"/>
      <c r="S175" s="45"/>
      <c r="T175" s="45"/>
      <c r="U175" s="45"/>
      <c r="V175" s="45"/>
      <c r="W175" s="45"/>
      <c r="X175" s="45"/>
      <c r="Y175" s="45"/>
      <c r="Z175" s="48" t="s">
        <v>642</v>
      </c>
      <c r="AA175" s="45" t="s">
        <v>642</v>
      </c>
      <c r="AB175" s="45">
        <v>0</v>
      </c>
      <c r="AD175"/>
    </row>
    <row r="176" spans="1:30" ht="12.75" customHeight="1">
      <c r="A176" s="45"/>
      <c r="B176" s="45"/>
      <c r="C176" s="45"/>
      <c r="D176" s="45"/>
      <c r="E176" s="45"/>
      <c r="F176" s="45"/>
      <c r="G176" s="45"/>
      <c r="H176" s="45"/>
      <c r="I176" s="45"/>
      <c r="J176" s="45"/>
      <c r="K176" s="45"/>
      <c r="L176" s="46"/>
      <c r="M176" s="45"/>
      <c r="N176" s="45"/>
      <c r="O176" s="45"/>
      <c r="P176" s="47"/>
      <c r="Q176" s="45"/>
      <c r="R176" s="45"/>
      <c r="S176" s="45"/>
      <c r="T176" s="45"/>
      <c r="U176" s="45"/>
      <c r="V176" s="45"/>
      <c r="W176" s="45"/>
      <c r="X176" s="45"/>
      <c r="Y176" s="45"/>
      <c r="Z176" s="48" t="s">
        <v>642</v>
      </c>
      <c r="AA176" s="45" t="s">
        <v>642</v>
      </c>
      <c r="AB176" s="45">
        <v>0</v>
      </c>
      <c r="AD176"/>
    </row>
    <row r="177" spans="1:30" ht="12.75" customHeight="1">
      <c r="A177" s="45"/>
      <c r="B177" s="45"/>
      <c r="C177" s="45"/>
      <c r="D177" s="45"/>
      <c r="E177" s="45"/>
      <c r="F177" s="45"/>
      <c r="G177" s="45"/>
      <c r="H177" s="45"/>
      <c r="I177" s="45"/>
      <c r="J177" s="45"/>
      <c r="K177" s="45"/>
      <c r="L177" s="46"/>
      <c r="M177" s="45"/>
      <c r="N177" s="45"/>
      <c r="O177" s="45"/>
      <c r="P177" s="47"/>
      <c r="Q177" s="45"/>
      <c r="R177" s="45"/>
      <c r="S177" s="45"/>
      <c r="T177" s="45"/>
      <c r="U177" s="45"/>
      <c r="V177" s="45"/>
      <c r="W177" s="45"/>
      <c r="X177" s="45"/>
      <c r="Y177" s="45"/>
      <c r="Z177" s="48" t="s">
        <v>642</v>
      </c>
      <c r="AA177" s="45" t="s">
        <v>642</v>
      </c>
      <c r="AB177" s="45">
        <v>0</v>
      </c>
      <c r="AD177"/>
    </row>
    <row r="178" spans="1:30" ht="12.75" customHeight="1">
      <c r="A178" s="45"/>
      <c r="B178" s="45"/>
      <c r="C178" s="45"/>
      <c r="D178" s="45"/>
      <c r="E178" s="45"/>
      <c r="F178" s="45"/>
      <c r="G178" s="45"/>
      <c r="H178" s="45"/>
      <c r="I178" s="45"/>
      <c r="J178" s="45"/>
      <c r="K178" s="45"/>
      <c r="L178" s="46"/>
      <c r="M178" s="45"/>
      <c r="N178" s="45"/>
      <c r="O178" s="45"/>
      <c r="P178" s="47"/>
      <c r="Q178" s="45"/>
      <c r="R178" s="45"/>
      <c r="S178" s="45"/>
      <c r="T178" s="45"/>
      <c r="U178" s="45"/>
      <c r="V178" s="45"/>
      <c r="W178" s="45"/>
      <c r="X178" s="45"/>
      <c r="Y178" s="45"/>
      <c r="Z178" s="48" t="s">
        <v>642</v>
      </c>
      <c r="AA178" s="45" t="s">
        <v>642</v>
      </c>
      <c r="AB178" s="45">
        <v>0</v>
      </c>
      <c r="AD178"/>
    </row>
    <row r="179" spans="1:30" ht="12.75" customHeight="1">
      <c r="A179" s="45"/>
      <c r="B179" s="45"/>
      <c r="C179" s="45"/>
      <c r="D179" s="45"/>
      <c r="E179" s="45"/>
      <c r="F179" s="45"/>
      <c r="G179" s="45"/>
      <c r="H179" s="45"/>
      <c r="I179" s="45"/>
      <c r="J179" s="45"/>
      <c r="K179" s="45"/>
      <c r="L179" s="46"/>
      <c r="M179" s="45"/>
      <c r="N179" s="45"/>
      <c r="O179" s="45"/>
      <c r="P179" s="47"/>
      <c r="Q179" s="45"/>
      <c r="R179" s="45"/>
      <c r="S179" s="45"/>
      <c r="T179" s="45"/>
      <c r="U179" s="45"/>
      <c r="V179" s="45"/>
      <c r="W179" s="45"/>
      <c r="X179" s="45"/>
      <c r="Y179" s="45"/>
      <c r="Z179" s="48" t="s">
        <v>642</v>
      </c>
      <c r="AA179" s="45" t="s">
        <v>642</v>
      </c>
      <c r="AB179" s="45">
        <v>0</v>
      </c>
      <c r="AD179"/>
    </row>
    <row r="180" spans="1:30" ht="12.75" customHeight="1">
      <c r="A180" s="45"/>
      <c r="B180" s="45"/>
      <c r="C180" s="45"/>
      <c r="D180" s="45"/>
      <c r="E180" s="45"/>
      <c r="F180" s="45"/>
      <c r="G180" s="45"/>
      <c r="H180" s="45"/>
      <c r="I180" s="45"/>
      <c r="J180" s="45"/>
      <c r="K180" s="45"/>
      <c r="L180" s="46"/>
      <c r="M180" s="45"/>
      <c r="N180" s="45"/>
      <c r="O180" s="45"/>
      <c r="P180" s="47"/>
      <c r="Q180" s="45"/>
      <c r="R180" s="45"/>
      <c r="S180" s="45"/>
      <c r="T180" s="45"/>
      <c r="U180" s="45"/>
      <c r="V180" s="45"/>
      <c r="W180" s="45"/>
      <c r="X180" s="45"/>
      <c r="Y180" s="45"/>
      <c r="Z180" s="48" t="s">
        <v>642</v>
      </c>
      <c r="AA180" s="45" t="s">
        <v>642</v>
      </c>
      <c r="AB180" s="45">
        <v>0</v>
      </c>
      <c r="AD180"/>
    </row>
    <row r="181" spans="1:30" ht="12.75" customHeight="1">
      <c r="A181" s="45"/>
      <c r="B181" s="45"/>
      <c r="C181" s="45"/>
      <c r="D181" s="45"/>
      <c r="E181" s="45"/>
      <c r="F181" s="45"/>
      <c r="G181" s="45"/>
      <c r="H181" s="45"/>
      <c r="I181" s="45"/>
      <c r="J181" s="45"/>
      <c r="K181" s="45"/>
      <c r="L181" s="46"/>
      <c r="M181" s="45"/>
      <c r="N181" s="45"/>
      <c r="O181" s="45"/>
      <c r="P181" s="47"/>
      <c r="Q181" s="45"/>
      <c r="R181" s="45"/>
      <c r="S181" s="45"/>
      <c r="T181" s="45"/>
      <c r="U181" s="45"/>
      <c r="V181" s="45"/>
      <c r="W181" s="45"/>
      <c r="X181" s="45"/>
      <c r="Y181" s="45"/>
      <c r="Z181" s="48" t="s">
        <v>642</v>
      </c>
      <c r="AA181" s="45" t="s">
        <v>642</v>
      </c>
      <c r="AB181" s="45">
        <v>0</v>
      </c>
      <c r="AD181"/>
    </row>
    <row r="182" spans="1:30" ht="12.75" customHeight="1">
      <c r="A182" s="45"/>
      <c r="B182" s="45"/>
      <c r="C182" s="45"/>
      <c r="D182" s="45"/>
      <c r="E182" s="45"/>
      <c r="F182" s="45"/>
      <c r="G182" s="45"/>
      <c r="H182" s="45"/>
      <c r="I182" s="45"/>
      <c r="J182" s="45"/>
      <c r="K182" s="45"/>
      <c r="L182" s="46"/>
      <c r="M182" s="45"/>
      <c r="N182" s="45"/>
      <c r="O182" s="45"/>
      <c r="P182" s="47"/>
      <c r="Q182" s="45"/>
      <c r="R182" s="45"/>
      <c r="S182" s="45"/>
      <c r="T182" s="45"/>
      <c r="U182" s="45"/>
      <c r="V182" s="45"/>
      <c r="W182" s="45"/>
      <c r="X182" s="45"/>
      <c r="Y182" s="45"/>
      <c r="Z182" s="48" t="s">
        <v>642</v>
      </c>
      <c r="AA182" s="45" t="s">
        <v>642</v>
      </c>
      <c r="AB182" s="45">
        <v>0</v>
      </c>
      <c r="AD182"/>
    </row>
    <row r="183" spans="1:30" ht="12.75" customHeight="1">
      <c r="A183" s="45"/>
      <c r="B183" s="45"/>
      <c r="C183" s="45"/>
      <c r="D183" s="45"/>
      <c r="E183" s="45"/>
      <c r="F183" s="45"/>
      <c r="G183" s="45"/>
      <c r="H183" s="45"/>
      <c r="I183" s="45"/>
      <c r="J183" s="45"/>
      <c r="K183" s="45"/>
      <c r="L183" s="46"/>
      <c r="M183" s="45"/>
      <c r="N183" s="45"/>
      <c r="O183" s="45"/>
      <c r="P183" s="47"/>
      <c r="Q183" s="45"/>
      <c r="R183" s="45"/>
      <c r="S183" s="45"/>
      <c r="T183" s="45"/>
      <c r="U183" s="45"/>
      <c r="V183" s="45"/>
      <c r="W183" s="45"/>
      <c r="X183" s="45"/>
      <c r="Y183" s="45"/>
      <c r="Z183" s="48" t="s">
        <v>642</v>
      </c>
      <c r="AA183" s="45" t="s">
        <v>642</v>
      </c>
      <c r="AB183" s="45">
        <v>0</v>
      </c>
      <c r="AD183"/>
    </row>
    <row r="184" spans="1:30" ht="12.75" customHeight="1">
      <c r="A184" s="45"/>
      <c r="B184" s="45"/>
      <c r="C184" s="45"/>
      <c r="D184" s="45"/>
      <c r="E184" s="45"/>
      <c r="F184" s="45"/>
      <c r="G184" s="45"/>
      <c r="H184" s="45"/>
      <c r="I184" s="45"/>
      <c r="J184" s="45"/>
      <c r="K184" s="45"/>
      <c r="L184" s="46"/>
      <c r="M184" s="45"/>
      <c r="N184" s="45"/>
      <c r="O184" s="45"/>
      <c r="P184" s="47"/>
      <c r="Q184" s="45"/>
      <c r="R184" s="45"/>
      <c r="S184" s="45"/>
      <c r="T184" s="45"/>
      <c r="U184" s="45"/>
      <c r="V184" s="45"/>
      <c r="W184" s="45"/>
      <c r="X184" s="45"/>
      <c r="Y184" s="45"/>
      <c r="Z184" s="48" t="s">
        <v>642</v>
      </c>
      <c r="AA184" s="45" t="s">
        <v>642</v>
      </c>
      <c r="AB184" s="45">
        <v>0</v>
      </c>
      <c r="AD184"/>
    </row>
    <row r="185" spans="1:30" ht="12.75" customHeight="1">
      <c r="A185" s="45"/>
      <c r="B185" s="45"/>
      <c r="C185" s="45"/>
      <c r="D185" s="45"/>
      <c r="E185" s="45"/>
      <c r="F185" s="45"/>
      <c r="G185" s="45"/>
      <c r="H185" s="45"/>
      <c r="I185" s="45"/>
      <c r="J185" s="45"/>
      <c r="K185" s="45"/>
      <c r="L185" s="46"/>
      <c r="M185" s="45"/>
      <c r="N185" s="45"/>
      <c r="O185" s="45"/>
      <c r="P185" s="47"/>
      <c r="Q185" s="45"/>
      <c r="R185" s="45"/>
      <c r="S185" s="45"/>
      <c r="T185" s="45"/>
      <c r="U185" s="45"/>
      <c r="V185" s="45"/>
      <c r="W185" s="45"/>
      <c r="X185" s="45"/>
      <c r="Y185" s="45"/>
      <c r="Z185" s="48" t="s">
        <v>642</v>
      </c>
      <c r="AA185" s="45" t="s">
        <v>642</v>
      </c>
      <c r="AB185" s="45">
        <v>0</v>
      </c>
      <c r="AD185"/>
    </row>
    <row r="186" spans="1:30" ht="12.75" customHeight="1">
      <c r="A186" s="45"/>
      <c r="B186" s="45"/>
      <c r="C186" s="45"/>
      <c r="D186" s="45"/>
      <c r="E186" s="45"/>
      <c r="F186" s="45"/>
      <c r="G186" s="45"/>
      <c r="H186" s="45"/>
      <c r="I186" s="45"/>
      <c r="J186" s="45"/>
      <c r="K186" s="45"/>
      <c r="L186" s="46"/>
      <c r="M186" s="45"/>
      <c r="N186" s="45"/>
      <c r="O186" s="45"/>
      <c r="P186" s="47"/>
      <c r="Q186" s="45"/>
      <c r="R186" s="45"/>
      <c r="S186" s="45"/>
      <c r="T186" s="45"/>
      <c r="U186" s="45"/>
      <c r="V186" s="45"/>
      <c r="W186" s="45"/>
      <c r="X186" s="45"/>
      <c r="Y186" s="45"/>
      <c r="Z186" s="48" t="s">
        <v>642</v>
      </c>
      <c r="AA186" s="45" t="s">
        <v>642</v>
      </c>
      <c r="AB186" s="45">
        <v>0</v>
      </c>
      <c r="AD186"/>
    </row>
    <row r="187" spans="1:30" ht="12.75" customHeight="1">
      <c r="A187" s="45"/>
      <c r="B187" s="45"/>
      <c r="C187" s="45"/>
      <c r="D187" s="45"/>
      <c r="E187" s="45"/>
      <c r="F187" s="45"/>
      <c r="G187" s="45"/>
      <c r="H187" s="45"/>
      <c r="I187" s="45"/>
      <c r="J187" s="45"/>
      <c r="K187" s="45"/>
      <c r="L187" s="46"/>
      <c r="M187" s="45"/>
      <c r="N187" s="45"/>
      <c r="O187" s="45"/>
      <c r="P187" s="47"/>
      <c r="Q187" s="45"/>
      <c r="R187" s="45"/>
      <c r="S187" s="45"/>
      <c r="T187" s="45"/>
      <c r="U187" s="45"/>
      <c r="V187" s="45"/>
      <c r="W187" s="45"/>
      <c r="X187" s="45"/>
      <c r="Y187" s="45"/>
      <c r="Z187" s="48" t="s">
        <v>642</v>
      </c>
      <c r="AA187" s="45" t="s">
        <v>642</v>
      </c>
      <c r="AB187" s="45">
        <v>0</v>
      </c>
      <c r="AD187"/>
    </row>
    <row r="188" spans="1:30" ht="12.75" customHeight="1">
      <c r="A188" s="45"/>
      <c r="B188" s="45"/>
      <c r="C188" s="45"/>
      <c r="D188" s="45"/>
      <c r="E188" s="45"/>
      <c r="F188" s="45"/>
      <c r="G188" s="45"/>
      <c r="H188" s="45"/>
      <c r="I188" s="45"/>
      <c r="J188" s="45"/>
      <c r="K188" s="45"/>
      <c r="L188" s="46"/>
      <c r="M188" s="45"/>
      <c r="N188" s="45"/>
      <c r="O188" s="45"/>
      <c r="P188" s="47"/>
      <c r="Q188" s="45"/>
      <c r="R188" s="45"/>
      <c r="S188" s="45"/>
      <c r="T188" s="45"/>
      <c r="U188" s="45"/>
      <c r="V188" s="45"/>
      <c r="W188" s="45"/>
      <c r="X188" s="45"/>
      <c r="Y188" s="45"/>
      <c r="Z188" s="48" t="s">
        <v>642</v>
      </c>
      <c r="AA188" s="45" t="s">
        <v>642</v>
      </c>
      <c r="AB188" s="45">
        <v>0</v>
      </c>
      <c r="AD188"/>
    </row>
    <row r="189" spans="1:30" ht="12.75" customHeight="1">
      <c r="A189" s="45"/>
      <c r="B189" s="45"/>
      <c r="C189" s="45"/>
      <c r="D189" s="45"/>
      <c r="E189" s="45"/>
      <c r="F189" s="45"/>
      <c r="G189" s="45"/>
      <c r="H189" s="45"/>
      <c r="I189" s="45"/>
      <c r="J189" s="45"/>
      <c r="K189" s="45"/>
      <c r="L189" s="46"/>
      <c r="M189" s="45"/>
      <c r="N189" s="45"/>
      <c r="O189" s="45"/>
      <c r="P189" s="47"/>
      <c r="Q189" s="45"/>
      <c r="R189" s="45"/>
      <c r="S189" s="45"/>
      <c r="T189" s="45"/>
      <c r="U189" s="45"/>
      <c r="V189" s="45"/>
      <c r="W189" s="45"/>
      <c r="X189" s="45"/>
      <c r="Y189" s="45"/>
      <c r="Z189" s="48" t="s">
        <v>642</v>
      </c>
      <c r="AA189" s="45" t="s">
        <v>642</v>
      </c>
      <c r="AB189" s="45">
        <v>0</v>
      </c>
      <c r="AD189"/>
    </row>
    <row r="190" spans="1:30" ht="12.75" customHeight="1">
      <c r="A190" s="45"/>
      <c r="B190" s="45"/>
      <c r="C190" s="45"/>
      <c r="D190" s="45"/>
      <c r="E190" s="45"/>
      <c r="F190" s="45"/>
      <c r="G190" s="45"/>
      <c r="H190" s="45"/>
      <c r="I190" s="45"/>
      <c r="J190" s="45"/>
      <c r="K190" s="45"/>
      <c r="L190" s="46"/>
      <c r="M190" s="45"/>
      <c r="N190" s="45"/>
      <c r="O190" s="45"/>
      <c r="P190" s="47"/>
      <c r="Q190" s="45"/>
      <c r="R190" s="45"/>
      <c r="S190" s="45"/>
      <c r="T190" s="45"/>
      <c r="U190" s="45"/>
      <c r="V190" s="45"/>
      <c r="W190" s="45"/>
      <c r="X190" s="45"/>
      <c r="Y190" s="45"/>
      <c r="Z190" s="48" t="s">
        <v>642</v>
      </c>
      <c r="AA190" s="45" t="s">
        <v>642</v>
      </c>
      <c r="AB190" s="45">
        <v>0</v>
      </c>
      <c r="AD190"/>
    </row>
    <row r="191" spans="1:30" ht="12.75" customHeight="1">
      <c r="A191" s="45"/>
      <c r="B191" s="45"/>
      <c r="C191" s="45"/>
      <c r="D191" s="45"/>
      <c r="E191" s="45"/>
      <c r="F191" s="45"/>
      <c r="G191" s="45"/>
      <c r="H191" s="45"/>
      <c r="I191" s="45"/>
      <c r="J191" s="45"/>
      <c r="K191" s="45"/>
      <c r="L191" s="46"/>
      <c r="M191" s="45"/>
      <c r="N191" s="45"/>
      <c r="O191" s="45"/>
      <c r="P191" s="47"/>
      <c r="Q191" s="45"/>
      <c r="R191" s="45"/>
      <c r="S191" s="45"/>
      <c r="T191" s="45"/>
      <c r="U191" s="45"/>
      <c r="V191" s="45"/>
      <c r="W191" s="45"/>
      <c r="X191" s="45"/>
      <c r="Y191" s="45"/>
      <c r="Z191" s="48" t="s">
        <v>642</v>
      </c>
      <c r="AA191" s="45" t="s">
        <v>642</v>
      </c>
      <c r="AB191" s="45">
        <v>0</v>
      </c>
      <c r="AD191"/>
    </row>
    <row r="192" spans="1:30" ht="12.75" customHeight="1">
      <c r="A192" s="45"/>
      <c r="B192" s="45"/>
      <c r="C192" s="45"/>
      <c r="D192" s="45"/>
      <c r="E192" s="45"/>
      <c r="F192" s="45"/>
      <c r="G192" s="45"/>
      <c r="H192" s="45"/>
      <c r="I192" s="45"/>
      <c r="J192" s="45"/>
      <c r="K192" s="45"/>
      <c r="L192" s="46"/>
      <c r="M192" s="45"/>
      <c r="N192" s="45"/>
      <c r="O192" s="45"/>
      <c r="P192" s="47"/>
      <c r="Q192" s="45"/>
      <c r="R192" s="45"/>
      <c r="S192" s="45"/>
      <c r="T192" s="45"/>
      <c r="U192" s="45"/>
      <c r="V192" s="45"/>
      <c r="W192" s="45"/>
      <c r="X192" s="45"/>
      <c r="Y192" s="45"/>
      <c r="Z192" s="48" t="s">
        <v>642</v>
      </c>
      <c r="AA192" s="45" t="s">
        <v>642</v>
      </c>
      <c r="AB192" s="45">
        <v>0</v>
      </c>
      <c r="AD192"/>
    </row>
    <row r="193" spans="1:30" ht="12.75" customHeight="1">
      <c r="A193" s="45"/>
      <c r="B193" s="45"/>
      <c r="C193" s="45"/>
      <c r="D193" s="45"/>
      <c r="E193" s="45"/>
      <c r="F193" s="45"/>
      <c r="G193" s="45"/>
      <c r="H193" s="45"/>
      <c r="I193" s="45"/>
      <c r="J193" s="45"/>
      <c r="K193" s="45"/>
      <c r="L193" s="46"/>
      <c r="M193" s="45"/>
      <c r="N193" s="45"/>
      <c r="O193" s="45"/>
      <c r="P193" s="47"/>
      <c r="Q193" s="45"/>
      <c r="R193" s="45"/>
      <c r="S193" s="45"/>
      <c r="T193" s="45"/>
      <c r="U193" s="45"/>
      <c r="V193" s="45"/>
      <c r="W193" s="45"/>
      <c r="X193" s="45"/>
      <c r="Y193" s="45"/>
      <c r="Z193" s="48" t="s">
        <v>642</v>
      </c>
      <c r="AA193" s="45" t="s">
        <v>642</v>
      </c>
      <c r="AB193" s="45">
        <v>0</v>
      </c>
      <c r="AD193"/>
    </row>
    <row r="194" spans="1:30" ht="12.75" customHeight="1">
      <c r="A194" s="45"/>
      <c r="B194" s="45"/>
      <c r="C194" s="45"/>
      <c r="D194" s="45"/>
      <c r="E194" s="45"/>
      <c r="F194" s="45"/>
      <c r="G194" s="45"/>
      <c r="H194" s="45"/>
      <c r="I194" s="45"/>
      <c r="J194" s="45"/>
      <c r="K194" s="45"/>
      <c r="L194" s="46"/>
      <c r="M194" s="45"/>
      <c r="N194" s="45"/>
      <c r="O194" s="45"/>
      <c r="P194" s="47"/>
      <c r="Q194" s="45"/>
      <c r="R194" s="45"/>
      <c r="S194" s="45"/>
      <c r="T194" s="45"/>
      <c r="U194" s="45"/>
      <c r="V194" s="45"/>
      <c r="W194" s="45"/>
      <c r="X194" s="45"/>
      <c r="Y194" s="45"/>
      <c r="Z194" s="48" t="s">
        <v>642</v>
      </c>
      <c r="AA194" s="45" t="s">
        <v>642</v>
      </c>
      <c r="AB194" s="45">
        <v>0</v>
      </c>
      <c r="AD194"/>
    </row>
    <row r="195" spans="1:30" ht="12.75" customHeight="1">
      <c r="A195" s="45"/>
      <c r="B195" s="45"/>
      <c r="C195" s="45"/>
      <c r="D195" s="45"/>
      <c r="E195" s="45"/>
      <c r="F195" s="45"/>
      <c r="G195" s="45"/>
      <c r="H195" s="45"/>
      <c r="I195" s="45"/>
      <c r="J195" s="45"/>
      <c r="K195" s="45"/>
      <c r="L195" s="46"/>
      <c r="M195" s="45"/>
      <c r="N195" s="45"/>
      <c r="O195" s="45"/>
      <c r="P195" s="47"/>
      <c r="Q195" s="45"/>
      <c r="R195" s="45"/>
      <c r="S195" s="45"/>
      <c r="T195" s="45"/>
      <c r="U195" s="45"/>
      <c r="V195" s="45"/>
      <c r="W195" s="45"/>
      <c r="X195" s="45"/>
      <c r="Y195" s="45"/>
      <c r="Z195" s="48" t="s">
        <v>642</v>
      </c>
      <c r="AA195" s="45" t="s">
        <v>642</v>
      </c>
      <c r="AB195" s="45">
        <v>0</v>
      </c>
      <c r="AD195"/>
    </row>
    <row r="196" spans="1:30" ht="12.75" customHeight="1">
      <c r="A196" s="45"/>
      <c r="B196" s="45"/>
      <c r="C196" s="45"/>
      <c r="D196" s="45"/>
      <c r="E196" s="45"/>
      <c r="F196" s="45"/>
      <c r="G196" s="45"/>
      <c r="H196" s="45"/>
      <c r="I196" s="45"/>
      <c r="J196" s="45"/>
      <c r="K196" s="45"/>
      <c r="L196" s="46"/>
      <c r="M196" s="45"/>
      <c r="N196" s="45"/>
      <c r="O196" s="45"/>
      <c r="P196" s="47"/>
      <c r="Q196" s="45"/>
      <c r="R196" s="45"/>
      <c r="S196" s="45"/>
      <c r="T196" s="45"/>
      <c r="U196" s="45"/>
      <c r="V196" s="45"/>
      <c r="W196" s="45"/>
      <c r="X196" s="45"/>
      <c r="Y196" s="45"/>
      <c r="Z196" s="48" t="s">
        <v>642</v>
      </c>
      <c r="AA196" s="45" t="s">
        <v>642</v>
      </c>
      <c r="AB196" s="45">
        <v>0</v>
      </c>
      <c r="AD196"/>
    </row>
    <row r="197" spans="1:30" ht="12.75" customHeight="1">
      <c r="A197" s="45"/>
      <c r="B197" s="45"/>
      <c r="C197" s="45"/>
      <c r="D197" s="45"/>
      <c r="E197" s="45"/>
      <c r="F197" s="45"/>
      <c r="G197" s="45"/>
      <c r="H197" s="45"/>
      <c r="I197" s="45"/>
      <c r="J197" s="45"/>
      <c r="K197" s="45"/>
      <c r="L197" s="46"/>
      <c r="M197" s="45"/>
      <c r="N197" s="45"/>
      <c r="O197" s="45"/>
      <c r="P197" s="47"/>
      <c r="Q197" s="45"/>
      <c r="R197" s="45"/>
      <c r="S197" s="45"/>
      <c r="T197" s="45"/>
      <c r="U197" s="45"/>
      <c r="V197" s="45"/>
      <c r="W197" s="45"/>
      <c r="X197" s="45"/>
      <c r="Y197" s="45"/>
      <c r="Z197" s="48" t="s">
        <v>642</v>
      </c>
      <c r="AA197" s="45" t="s">
        <v>642</v>
      </c>
      <c r="AB197" s="45">
        <v>0</v>
      </c>
      <c r="AD197"/>
    </row>
    <row r="198" spans="1:30" ht="12.75" customHeight="1">
      <c r="A198" s="45"/>
      <c r="B198" s="45"/>
      <c r="C198" s="45"/>
      <c r="D198" s="45"/>
      <c r="E198" s="45"/>
      <c r="F198" s="45"/>
      <c r="G198" s="45"/>
      <c r="H198" s="45"/>
      <c r="I198" s="45"/>
      <c r="J198" s="45"/>
      <c r="K198" s="45"/>
      <c r="L198" s="46"/>
      <c r="M198" s="45"/>
      <c r="N198" s="45"/>
      <c r="O198" s="45"/>
      <c r="P198" s="47"/>
      <c r="Q198" s="45"/>
      <c r="R198" s="45"/>
      <c r="S198" s="45"/>
      <c r="T198" s="45"/>
      <c r="U198" s="45"/>
      <c r="V198" s="45"/>
      <c r="W198" s="45"/>
      <c r="X198" s="45"/>
      <c r="Y198" s="45"/>
      <c r="Z198" s="48" t="s">
        <v>642</v>
      </c>
      <c r="AA198" s="45" t="s">
        <v>642</v>
      </c>
      <c r="AB198" s="45">
        <v>0</v>
      </c>
      <c r="AD198"/>
    </row>
    <row r="199" spans="1:30" ht="12.75" customHeight="1">
      <c r="A199" s="45"/>
      <c r="B199" s="45"/>
      <c r="C199" s="45"/>
      <c r="D199" s="45"/>
      <c r="E199" s="45"/>
      <c r="F199" s="45"/>
      <c r="G199" s="45"/>
      <c r="H199" s="45"/>
      <c r="I199" s="45"/>
      <c r="J199" s="45"/>
      <c r="K199" s="45"/>
      <c r="L199" s="46"/>
      <c r="M199" s="45"/>
      <c r="N199" s="45"/>
      <c r="O199" s="45"/>
      <c r="P199" s="47"/>
      <c r="Q199" s="45"/>
      <c r="R199" s="45"/>
      <c r="S199" s="45"/>
      <c r="T199" s="45"/>
      <c r="U199" s="45"/>
      <c r="V199" s="45"/>
      <c r="W199" s="45"/>
      <c r="X199" s="45"/>
      <c r="Y199" s="45"/>
      <c r="Z199" s="48" t="s">
        <v>642</v>
      </c>
      <c r="AA199" s="45" t="s">
        <v>642</v>
      </c>
      <c r="AB199" s="45">
        <v>0</v>
      </c>
      <c r="AD199"/>
    </row>
    <row r="200" spans="1:30" ht="12.75" customHeight="1">
      <c r="A200" s="45"/>
      <c r="B200" s="45"/>
      <c r="C200" s="45"/>
      <c r="D200" s="45"/>
      <c r="E200" s="45"/>
      <c r="F200" s="45"/>
      <c r="G200" s="45"/>
      <c r="H200" s="45"/>
      <c r="I200" s="45"/>
      <c r="J200" s="45"/>
      <c r="K200" s="45"/>
      <c r="L200" s="46"/>
      <c r="M200" s="45"/>
      <c r="N200" s="45"/>
      <c r="O200" s="45"/>
      <c r="P200" s="47"/>
      <c r="Q200" s="45"/>
      <c r="R200" s="45"/>
      <c r="S200" s="45"/>
      <c r="T200" s="45"/>
      <c r="U200" s="45"/>
      <c r="V200" s="45"/>
      <c r="W200" s="45"/>
      <c r="X200" s="45"/>
      <c r="Y200" s="45"/>
      <c r="Z200" s="48" t="s">
        <v>642</v>
      </c>
      <c r="AA200" s="45" t="s">
        <v>642</v>
      </c>
      <c r="AB200" s="45">
        <v>0</v>
      </c>
      <c r="AD200"/>
    </row>
    <row r="201" spans="1:30" ht="12.75" customHeight="1">
      <c r="A201" s="45"/>
      <c r="B201" s="45"/>
      <c r="C201" s="45"/>
      <c r="D201" s="45"/>
      <c r="E201" s="45"/>
      <c r="F201" s="45"/>
      <c r="G201" s="45"/>
      <c r="H201" s="45"/>
      <c r="I201" s="45"/>
      <c r="J201" s="45"/>
      <c r="K201" s="45"/>
      <c r="L201" s="46"/>
      <c r="M201" s="45"/>
      <c r="N201" s="45"/>
      <c r="O201" s="45"/>
      <c r="P201" s="47"/>
      <c r="Q201" s="45"/>
      <c r="R201" s="45"/>
      <c r="S201" s="45"/>
      <c r="T201" s="45"/>
      <c r="U201" s="45"/>
      <c r="V201" s="45"/>
      <c r="W201" s="45"/>
      <c r="X201" s="45"/>
      <c r="Y201" s="45"/>
      <c r="Z201" s="48" t="s">
        <v>642</v>
      </c>
      <c r="AA201" s="45" t="s">
        <v>642</v>
      </c>
      <c r="AB201" s="45">
        <v>0</v>
      </c>
      <c r="AD201"/>
    </row>
    <row r="202" spans="1:30" ht="12.75" customHeight="1">
      <c r="A202" s="45"/>
      <c r="B202" s="45"/>
      <c r="C202" s="45"/>
      <c r="D202" s="45"/>
      <c r="E202" s="45"/>
      <c r="F202" s="45"/>
      <c r="G202" s="45"/>
      <c r="H202" s="45"/>
      <c r="I202" s="45"/>
      <c r="J202" s="45"/>
      <c r="K202" s="45"/>
      <c r="L202" s="46"/>
      <c r="M202" s="45"/>
      <c r="N202" s="45"/>
      <c r="O202" s="45"/>
      <c r="P202" s="47"/>
      <c r="Q202" s="45"/>
      <c r="R202" s="45"/>
      <c r="S202" s="45"/>
      <c r="T202" s="45"/>
      <c r="U202" s="45"/>
      <c r="V202" s="45"/>
      <c r="W202" s="45"/>
      <c r="X202" s="45"/>
      <c r="Y202" s="45"/>
      <c r="Z202" s="48" t="s">
        <v>642</v>
      </c>
      <c r="AA202" s="45" t="s">
        <v>642</v>
      </c>
      <c r="AB202" s="45">
        <v>0</v>
      </c>
      <c r="AD202"/>
    </row>
    <row r="203" spans="1:30" ht="12.75" customHeight="1">
      <c r="A203" s="45"/>
      <c r="B203" s="45"/>
      <c r="C203" s="45"/>
      <c r="D203" s="45"/>
      <c r="E203" s="45"/>
      <c r="F203" s="45"/>
      <c r="G203" s="45"/>
      <c r="H203" s="45"/>
      <c r="I203" s="45"/>
      <c r="J203" s="45"/>
      <c r="K203" s="45"/>
      <c r="L203" s="46"/>
      <c r="M203" s="45"/>
      <c r="N203" s="45"/>
      <c r="O203" s="45"/>
      <c r="P203" s="47"/>
      <c r="Q203" s="45"/>
      <c r="R203" s="45"/>
      <c r="S203" s="45"/>
      <c r="T203" s="45"/>
      <c r="U203" s="45"/>
      <c r="V203" s="45"/>
      <c r="W203" s="45"/>
      <c r="X203" s="45"/>
      <c r="Y203" s="45"/>
      <c r="Z203" s="48" t="s">
        <v>642</v>
      </c>
      <c r="AA203" s="45" t="s">
        <v>642</v>
      </c>
      <c r="AB203" s="45">
        <v>0</v>
      </c>
      <c r="AD203"/>
    </row>
    <row r="204" spans="1:30" ht="12.75" customHeight="1">
      <c r="A204" s="45"/>
      <c r="B204" s="45"/>
      <c r="C204" s="45"/>
      <c r="D204" s="45"/>
      <c r="E204" s="45"/>
      <c r="F204" s="45"/>
      <c r="G204" s="45"/>
      <c r="H204" s="45"/>
      <c r="I204" s="45"/>
      <c r="J204" s="45"/>
      <c r="K204" s="45"/>
      <c r="L204" s="46"/>
      <c r="M204" s="45"/>
      <c r="N204" s="45"/>
      <c r="O204" s="45"/>
      <c r="P204" s="47"/>
      <c r="Q204" s="45"/>
      <c r="R204" s="45"/>
      <c r="S204" s="45"/>
      <c r="T204" s="45"/>
      <c r="U204" s="45"/>
      <c r="V204" s="45"/>
      <c r="W204" s="45"/>
      <c r="X204" s="45"/>
      <c r="Y204" s="45"/>
      <c r="Z204" s="48" t="s">
        <v>642</v>
      </c>
      <c r="AA204" s="45" t="s">
        <v>642</v>
      </c>
      <c r="AB204" s="45">
        <v>0</v>
      </c>
      <c r="AD204"/>
    </row>
    <row r="205" spans="1:30" ht="12.75" customHeight="1">
      <c r="A205" s="45"/>
      <c r="B205" s="45"/>
      <c r="C205" s="45"/>
      <c r="D205" s="45"/>
      <c r="E205" s="45"/>
      <c r="F205" s="45"/>
      <c r="G205" s="45"/>
      <c r="H205" s="45"/>
      <c r="I205" s="45"/>
      <c r="J205" s="45"/>
      <c r="K205" s="45"/>
      <c r="L205" s="46"/>
      <c r="M205" s="45"/>
      <c r="N205" s="45"/>
      <c r="O205" s="45"/>
      <c r="P205" s="47"/>
      <c r="Q205" s="45"/>
      <c r="R205" s="45"/>
      <c r="S205" s="45"/>
      <c r="T205" s="45"/>
      <c r="U205" s="45"/>
      <c r="V205" s="45"/>
      <c r="W205" s="45"/>
      <c r="X205" s="45"/>
      <c r="Y205" s="45"/>
      <c r="Z205" s="48" t="s">
        <v>642</v>
      </c>
      <c r="AA205" s="45" t="s">
        <v>642</v>
      </c>
      <c r="AB205" s="45">
        <v>0</v>
      </c>
      <c r="AD205"/>
    </row>
    <row r="206" spans="1:30" ht="12.75" customHeight="1">
      <c r="A206" s="45"/>
      <c r="B206" s="45"/>
      <c r="C206" s="45"/>
      <c r="D206" s="45"/>
      <c r="E206" s="45"/>
      <c r="F206" s="45"/>
      <c r="G206" s="45"/>
      <c r="H206" s="45"/>
      <c r="I206" s="45"/>
      <c r="J206" s="45"/>
      <c r="K206" s="45"/>
      <c r="L206" s="46"/>
      <c r="M206" s="45"/>
      <c r="N206" s="45"/>
      <c r="O206" s="45"/>
      <c r="P206" s="47"/>
      <c r="Q206" s="45"/>
      <c r="R206" s="45"/>
      <c r="S206" s="45"/>
      <c r="T206" s="45"/>
      <c r="U206" s="45"/>
      <c r="V206" s="45"/>
      <c r="W206" s="45"/>
      <c r="X206" s="45"/>
      <c r="Y206" s="45"/>
      <c r="Z206" s="48" t="s">
        <v>642</v>
      </c>
      <c r="AA206" s="45" t="s">
        <v>642</v>
      </c>
      <c r="AB206" s="45">
        <v>0</v>
      </c>
      <c r="AD206"/>
    </row>
    <row r="207" spans="1:30" ht="12.75" customHeight="1">
      <c r="A207" s="45"/>
      <c r="B207" s="45"/>
      <c r="C207" s="45"/>
      <c r="D207" s="45"/>
      <c r="E207" s="45"/>
      <c r="F207" s="45"/>
      <c r="G207" s="45"/>
      <c r="H207" s="45"/>
      <c r="I207" s="45"/>
      <c r="J207" s="45"/>
      <c r="K207" s="45"/>
      <c r="L207" s="46"/>
      <c r="M207" s="45"/>
      <c r="N207" s="45"/>
      <c r="O207" s="45"/>
      <c r="P207" s="47"/>
      <c r="Q207" s="45"/>
      <c r="R207" s="45"/>
      <c r="S207" s="45"/>
      <c r="T207" s="45"/>
      <c r="U207" s="45"/>
      <c r="V207" s="45"/>
      <c r="W207" s="45"/>
      <c r="X207" s="45"/>
      <c r="Y207" s="45"/>
      <c r="Z207" s="48" t="s">
        <v>642</v>
      </c>
      <c r="AA207" s="45" t="s">
        <v>642</v>
      </c>
      <c r="AB207" s="45">
        <v>0</v>
      </c>
      <c r="AD207"/>
    </row>
    <row r="208" spans="1:30" ht="12.75" customHeight="1">
      <c r="A208" s="45"/>
      <c r="B208" s="45"/>
      <c r="C208" s="45"/>
      <c r="D208" s="45"/>
      <c r="E208" s="45"/>
      <c r="F208" s="45"/>
      <c r="G208" s="45"/>
      <c r="H208" s="45"/>
      <c r="I208" s="45"/>
      <c r="J208" s="45"/>
      <c r="K208" s="45"/>
      <c r="L208" s="46"/>
      <c r="M208" s="45"/>
      <c r="N208" s="45"/>
      <c r="O208" s="45"/>
      <c r="P208" s="47"/>
      <c r="Q208" s="45"/>
      <c r="R208" s="45"/>
      <c r="S208" s="45"/>
      <c r="T208" s="45"/>
      <c r="U208" s="45"/>
      <c r="V208" s="45"/>
      <c r="W208" s="45"/>
      <c r="X208" s="45"/>
      <c r="Y208" s="45"/>
      <c r="Z208" s="48" t="s">
        <v>642</v>
      </c>
      <c r="AA208" s="45" t="s">
        <v>642</v>
      </c>
      <c r="AB208" s="45">
        <v>0</v>
      </c>
      <c r="AD208"/>
    </row>
    <row r="209" spans="1:30" ht="12.75" customHeight="1">
      <c r="A209" s="45"/>
      <c r="B209" s="45"/>
      <c r="C209" s="45"/>
      <c r="D209" s="45"/>
      <c r="E209" s="45"/>
      <c r="F209" s="45"/>
      <c r="G209" s="45"/>
      <c r="H209" s="45"/>
      <c r="I209" s="45"/>
      <c r="J209" s="45"/>
      <c r="K209" s="45"/>
      <c r="L209" s="46"/>
      <c r="M209" s="45"/>
      <c r="N209" s="45"/>
      <c r="O209" s="45"/>
      <c r="P209" s="47"/>
      <c r="Q209" s="45"/>
      <c r="R209" s="45"/>
      <c r="S209" s="45"/>
      <c r="T209" s="45"/>
      <c r="U209" s="45"/>
      <c r="V209" s="45"/>
      <c r="W209" s="45"/>
      <c r="X209" s="45"/>
      <c r="Y209" s="45"/>
      <c r="Z209" s="48" t="s">
        <v>642</v>
      </c>
      <c r="AA209" s="45" t="s">
        <v>642</v>
      </c>
      <c r="AB209" s="45">
        <v>0</v>
      </c>
      <c r="AD209"/>
    </row>
    <row r="210" spans="1:30" ht="12.75" customHeight="1">
      <c r="A210" s="45"/>
      <c r="B210" s="45"/>
      <c r="C210" s="45"/>
      <c r="D210" s="45"/>
      <c r="E210" s="45"/>
      <c r="F210" s="45"/>
      <c r="G210" s="45"/>
      <c r="H210" s="45"/>
      <c r="I210" s="45"/>
      <c r="J210" s="45"/>
      <c r="K210" s="45"/>
      <c r="L210" s="46"/>
      <c r="M210" s="45"/>
      <c r="N210" s="45"/>
      <c r="O210" s="45"/>
      <c r="P210" s="47"/>
      <c r="Q210" s="45"/>
      <c r="R210" s="45"/>
      <c r="S210" s="45"/>
      <c r="T210" s="45"/>
      <c r="U210" s="45"/>
      <c r="V210" s="45"/>
      <c r="W210" s="45"/>
      <c r="X210" s="45"/>
      <c r="Y210" s="45"/>
      <c r="Z210" s="48" t="s">
        <v>642</v>
      </c>
      <c r="AA210" s="45" t="s">
        <v>642</v>
      </c>
      <c r="AB210" s="45">
        <v>0</v>
      </c>
      <c r="AD210"/>
    </row>
    <row r="211" spans="1:30" ht="12.75" customHeight="1">
      <c r="A211" s="45"/>
      <c r="B211" s="45"/>
      <c r="C211" s="45"/>
      <c r="D211" s="45"/>
      <c r="E211" s="45"/>
      <c r="F211" s="45"/>
      <c r="G211" s="45"/>
      <c r="H211" s="45"/>
      <c r="I211" s="45"/>
      <c r="J211" s="45"/>
      <c r="K211" s="45"/>
      <c r="L211" s="46"/>
      <c r="M211" s="45"/>
      <c r="N211" s="45"/>
      <c r="O211" s="45"/>
      <c r="P211" s="47"/>
      <c r="Q211" s="45"/>
      <c r="R211" s="45"/>
      <c r="S211" s="45"/>
      <c r="T211" s="45"/>
      <c r="U211" s="45"/>
      <c r="V211" s="45"/>
      <c r="W211" s="45"/>
      <c r="X211" s="45"/>
      <c r="Y211" s="45"/>
      <c r="Z211" s="48" t="s">
        <v>642</v>
      </c>
      <c r="AA211" s="45" t="s">
        <v>642</v>
      </c>
      <c r="AB211" s="45">
        <v>0</v>
      </c>
      <c r="AD211"/>
    </row>
    <row r="212" spans="1:30" ht="12.75" customHeight="1">
      <c r="A212" s="45"/>
      <c r="B212" s="45"/>
      <c r="C212" s="45"/>
      <c r="D212" s="45"/>
      <c r="E212" s="45"/>
      <c r="F212" s="45"/>
      <c r="G212" s="45"/>
      <c r="H212" s="45"/>
      <c r="I212" s="45"/>
      <c r="J212" s="45"/>
      <c r="K212" s="45"/>
      <c r="L212" s="46"/>
      <c r="M212" s="45"/>
      <c r="N212" s="45"/>
      <c r="O212" s="45"/>
      <c r="P212" s="47"/>
      <c r="Q212" s="45"/>
      <c r="R212" s="45"/>
      <c r="S212" s="45"/>
      <c r="T212" s="45"/>
      <c r="U212" s="45"/>
      <c r="V212" s="45"/>
      <c r="W212" s="45"/>
      <c r="X212" s="45"/>
      <c r="Y212" s="45"/>
      <c r="Z212" s="48" t="s">
        <v>642</v>
      </c>
      <c r="AA212" s="45" t="s">
        <v>642</v>
      </c>
      <c r="AB212" s="45">
        <v>0</v>
      </c>
      <c r="AD212"/>
    </row>
    <row r="213" spans="1:30" ht="12.75" customHeight="1">
      <c r="A213" s="45"/>
      <c r="B213" s="45"/>
      <c r="C213" s="45"/>
      <c r="D213" s="45"/>
      <c r="E213" s="45"/>
      <c r="F213" s="45"/>
      <c r="G213" s="45"/>
      <c r="H213" s="45"/>
      <c r="I213" s="45"/>
      <c r="J213" s="45"/>
      <c r="K213" s="45"/>
      <c r="L213" s="46"/>
      <c r="M213" s="45"/>
      <c r="N213" s="45"/>
      <c r="O213" s="45"/>
      <c r="P213" s="47"/>
      <c r="Q213" s="45"/>
      <c r="R213" s="45"/>
      <c r="S213" s="45"/>
      <c r="T213" s="45"/>
      <c r="U213" s="45"/>
      <c r="V213" s="45"/>
      <c r="W213" s="45"/>
      <c r="X213" s="45"/>
      <c r="Y213" s="45"/>
      <c r="Z213" s="48" t="s">
        <v>642</v>
      </c>
      <c r="AA213" s="45" t="s">
        <v>642</v>
      </c>
      <c r="AB213" s="45">
        <v>0</v>
      </c>
      <c r="AD213"/>
    </row>
    <row r="214" spans="1:30" ht="12.75" customHeight="1">
      <c r="A214" s="45"/>
      <c r="B214" s="45"/>
      <c r="C214" s="45"/>
      <c r="D214" s="45"/>
      <c r="E214" s="45"/>
      <c r="F214" s="45"/>
      <c r="G214" s="45"/>
      <c r="H214" s="45"/>
      <c r="I214" s="45"/>
      <c r="J214" s="45"/>
      <c r="K214" s="45"/>
      <c r="L214" s="46"/>
      <c r="M214" s="45"/>
      <c r="N214" s="45"/>
      <c r="O214" s="45"/>
      <c r="P214" s="47"/>
      <c r="Q214" s="45"/>
      <c r="R214" s="45"/>
      <c r="S214" s="45"/>
      <c r="T214" s="45"/>
      <c r="U214" s="45"/>
      <c r="V214" s="45"/>
      <c r="W214" s="45"/>
      <c r="X214" s="45"/>
      <c r="Y214" s="45"/>
      <c r="Z214" s="48" t="s">
        <v>642</v>
      </c>
      <c r="AA214" s="45" t="s">
        <v>642</v>
      </c>
      <c r="AB214" s="45">
        <v>0</v>
      </c>
      <c r="AD214"/>
    </row>
    <row r="215" spans="1:30" ht="12.75" customHeight="1">
      <c r="A215" s="45"/>
      <c r="B215" s="45"/>
      <c r="C215" s="45"/>
      <c r="D215" s="45"/>
      <c r="E215" s="45"/>
      <c r="F215" s="45"/>
      <c r="G215" s="45"/>
      <c r="H215" s="45"/>
      <c r="I215" s="45"/>
      <c r="J215" s="45"/>
      <c r="K215" s="45"/>
      <c r="L215" s="46"/>
      <c r="M215" s="45"/>
      <c r="N215" s="45"/>
      <c r="O215" s="45"/>
      <c r="P215" s="47"/>
      <c r="Q215" s="45"/>
      <c r="R215" s="45"/>
      <c r="S215" s="45"/>
      <c r="T215" s="45"/>
      <c r="U215" s="45"/>
      <c r="V215" s="45"/>
      <c r="W215" s="45"/>
      <c r="X215" s="45"/>
      <c r="Y215" s="45"/>
      <c r="Z215" s="48" t="s">
        <v>642</v>
      </c>
      <c r="AA215" s="45" t="s">
        <v>642</v>
      </c>
      <c r="AB215" s="45">
        <v>0</v>
      </c>
      <c r="AD215"/>
    </row>
    <row r="216" spans="1:30" ht="12.75" customHeight="1">
      <c r="A216" s="45"/>
      <c r="B216" s="45"/>
      <c r="C216" s="45"/>
      <c r="D216" s="45"/>
      <c r="E216" s="45"/>
      <c r="F216" s="45"/>
      <c r="G216" s="45"/>
      <c r="H216" s="45"/>
      <c r="I216" s="45"/>
      <c r="J216" s="45"/>
      <c r="K216" s="45"/>
      <c r="L216" s="46"/>
      <c r="M216" s="45"/>
      <c r="N216" s="45"/>
      <c r="O216" s="45"/>
      <c r="P216" s="47"/>
      <c r="Q216" s="45"/>
      <c r="R216" s="45"/>
      <c r="S216" s="45"/>
      <c r="T216" s="45"/>
      <c r="U216" s="45"/>
      <c r="V216" s="45"/>
      <c r="W216" s="45"/>
      <c r="X216" s="45"/>
      <c r="Y216" s="45"/>
      <c r="Z216" s="48" t="s">
        <v>642</v>
      </c>
      <c r="AA216" s="45" t="s">
        <v>642</v>
      </c>
      <c r="AB216" s="45">
        <v>0</v>
      </c>
      <c r="AD216"/>
    </row>
    <row r="217" spans="1:30" ht="12.75" customHeight="1">
      <c r="A217" s="45"/>
      <c r="B217" s="45"/>
      <c r="C217" s="45"/>
      <c r="D217" s="45"/>
      <c r="E217" s="45"/>
      <c r="F217" s="45"/>
      <c r="G217" s="45"/>
      <c r="H217" s="45"/>
      <c r="I217" s="45"/>
      <c r="J217" s="45"/>
      <c r="K217" s="45"/>
      <c r="L217" s="46"/>
      <c r="M217" s="45"/>
      <c r="N217" s="45"/>
      <c r="O217" s="45"/>
      <c r="P217" s="47"/>
      <c r="Q217" s="45"/>
      <c r="R217" s="45"/>
      <c r="S217" s="45"/>
      <c r="T217" s="45"/>
      <c r="U217" s="45"/>
      <c r="V217" s="45"/>
      <c r="W217" s="45"/>
      <c r="X217" s="45"/>
      <c r="Y217" s="45"/>
      <c r="Z217" s="48" t="s">
        <v>642</v>
      </c>
      <c r="AA217" s="45" t="s">
        <v>642</v>
      </c>
      <c r="AB217" s="45">
        <v>0</v>
      </c>
      <c r="AD217"/>
    </row>
    <row r="218" spans="1:30" ht="12.75" customHeight="1">
      <c r="A218" s="45"/>
      <c r="B218" s="45"/>
      <c r="C218" s="45"/>
      <c r="D218" s="45"/>
      <c r="E218" s="45"/>
      <c r="F218" s="45"/>
      <c r="G218" s="45"/>
      <c r="H218" s="45"/>
      <c r="I218" s="45"/>
      <c r="J218" s="45"/>
      <c r="K218" s="45"/>
      <c r="L218" s="46"/>
      <c r="M218" s="45"/>
      <c r="N218" s="45"/>
      <c r="O218" s="45"/>
      <c r="P218" s="47"/>
      <c r="Q218" s="45"/>
      <c r="R218" s="45"/>
      <c r="S218" s="45"/>
      <c r="T218" s="45"/>
      <c r="U218" s="45"/>
      <c r="V218" s="45"/>
      <c r="W218" s="45"/>
      <c r="X218" s="45"/>
      <c r="Y218" s="45"/>
      <c r="Z218" s="48" t="s">
        <v>642</v>
      </c>
      <c r="AA218" s="45" t="s">
        <v>642</v>
      </c>
      <c r="AB218" s="45">
        <v>0</v>
      </c>
      <c r="AD218"/>
    </row>
    <row r="219" spans="1:30" ht="12.75" customHeight="1">
      <c r="A219" s="45"/>
      <c r="B219" s="45"/>
      <c r="C219" s="45"/>
      <c r="D219" s="45"/>
      <c r="E219" s="45"/>
      <c r="F219" s="45"/>
      <c r="G219" s="45"/>
      <c r="H219" s="45"/>
      <c r="I219" s="45"/>
      <c r="J219" s="45"/>
      <c r="K219" s="45"/>
      <c r="L219" s="46"/>
      <c r="M219" s="45"/>
      <c r="N219" s="45"/>
      <c r="O219" s="45"/>
      <c r="P219" s="47"/>
      <c r="Q219" s="45"/>
      <c r="R219" s="45"/>
      <c r="S219" s="45"/>
      <c r="T219" s="45"/>
      <c r="U219" s="45"/>
      <c r="V219" s="45"/>
      <c r="W219" s="45"/>
      <c r="X219" s="45"/>
      <c r="Y219" s="45"/>
      <c r="Z219" s="48" t="s">
        <v>642</v>
      </c>
      <c r="AA219" s="45" t="s">
        <v>642</v>
      </c>
      <c r="AB219" s="45">
        <v>0</v>
      </c>
      <c r="AD219"/>
    </row>
    <row r="220" spans="1:30" ht="12.75" customHeight="1">
      <c r="A220" s="45"/>
      <c r="B220" s="45"/>
      <c r="C220" s="45"/>
      <c r="D220" s="45"/>
      <c r="E220" s="45"/>
      <c r="F220" s="45"/>
      <c r="G220" s="45"/>
      <c r="H220" s="45"/>
      <c r="I220" s="45"/>
      <c r="J220" s="45"/>
      <c r="K220" s="45"/>
      <c r="L220" s="46"/>
      <c r="M220" s="45"/>
      <c r="N220" s="45"/>
      <c r="O220" s="45"/>
      <c r="P220" s="47"/>
      <c r="Q220" s="45"/>
      <c r="R220" s="45"/>
      <c r="S220" s="45"/>
      <c r="T220" s="45"/>
      <c r="U220" s="45"/>
      <c r="V220" s="45"/>
      <c r="W220" s="45"/>
      <c r="X220" s="45"/>
      <c r="Y220" s="45"/>
      <c r="Z220" s="48" t="s">
        <v>642</v>
      </c>
      <c r="AA220" s="45" t="s">
        <v>642</v>
      </c>
      <c r="AB220" s="45">
        <v>0</v>
      </c>
      <c r="AD220"/>
    </row>
    <row r="221" spans="1:30" ht="12.75" customHeight="1">
      <c r="A221" s="45"/>
      <c r="B221" s="45"/>
      <c r="C221" s="45"/>
      <c r="D221" s="45"/>
      <c r="E221" s="45"/>
      <c r="F221" s="45"/>
      <c r="G221" s="45"/>
      <c r="H221" s="45"/>
      <c r="I221" s="45"/>
      <c r="J221" s="45"/>
      <c r="K221" s="45"/>
      <c r="L221" s="46"/>
      <c r="M221" s="45"/>
      <c r="N221" s="45"/>
      <c r="O221" s="45"/>
      <c r="P221" s="47"/>
      <c r="Q221" s="45"/>
      <c r="R221" s="45"/>
      <c r="S221" s="45"/>
      <c r="T221" s="45"/>
      <c r="U221" s="45"/>
      <c r="V221" s="45"/>
      <c r="W221" s="45"/>
      <c r="X221" s="45"/>
      <c r="Y221" s="45"/>
      <c r="Z221" s="48" t="s">
        <v>642</v>
      </c>
      <c r="AA221" s="45" t="s">
        <v>642</v>
      </c>
      <c r="AB221" s="45">
        <v>0</v>
      </c>
      <c r="AD221"/>
    </row>
    <row r="222" spans="1:30" ht="12.75" customHeight="1">
      <c r="A222" s="45"/>
      <c r="B222" s="45"/>
      <c r="C222" s="45"/>
      <c r="D222" s="45"/>
      <c r="E222" s="45"/>
      <c r="F222" s="45"/>
      <c r="G222" s="45"/>
      <c r="H222" s="45"/>
      <c r="I222" s="45"/>
      <c r="J222" s="45"/>
      <c r="K222" s="45"/>
      <c r="L222" s="46"/>
      <c r="M222" s="45"/>
      <c r="N222" s="45"/>
      <c r="O222" s="45"/>
      <c r="P222" s="47"/>
      <c r="Q222" s="45"/>
      <c r="R222" s="45"/>
      <c r="S222" s="45"/>
      <c r="T222" s="45"/>
      <c r="U222" s="45"/>
      <c r="V222" s="45"/>
      <c r="W222" s="45"/>
      <c r="X222" s="45"/>
      <c r="Y222" s="45"/>
      <c r="Z222" s="48" t="s">
        <v>642</v>
      </c>
      <c r="AA222" s="45" t="s">
        <v>642</v>
      </c>
      <c r="AB222" s="45">
        <v>0</v>
      </c>
      <c r="AD222"/>
    </row>
    <row r="223" spans="1:30" ht="12.75" customHeight="1">
      <c r="A223" s="45"/>
      <c r="B223" s="45"/>
      <c r="C223" s="45"/>
      <c r="D223" s="45"/>
      <c r="E223" s="45"/>
      <c r="F223" s="45"/>
      <c r="G223" s="45"/>
      <c r="H223" s="45"/>
      <c r="I223" s="45"/>
      <c r="J223" s="45"/>
      <c r="K223" s="45"/>
      <c r="L223" s="46"/>
      <c r="M223" s="45"/>
      <c r="N223" s="45"/>
      <c r="O223" s="45"/>
      <c r="P223" s="47"/>
      <c r="Q223" s="45"/>
      <c r="R223" s="45"/>
      <c r="S223" s="45"/>
      <c r="T223" s="45"/>
      <c r="U223" s="45"/>
      <c r="V223" s="45"/>
      <c r="W223" s="45"/>
      <c r="X223" s="45"/>
      <c r="Y223" s="45"/>
      <c r="Z223" s="48" t="s">
        <v>642</v>
      </c>
      <c r="AA223" s="45" t="s">
        <v>642</v>
      </c>
      <c r="AB223" s="45">
        <v>0</v>
      </c>
      <c r="AD223"/>
    </row>
    <row r="224" spans="1:30" ht="12.75" customHeight="1">
      <c r="A224" s="45"/>
      <c r="B224" s="45"/>
      <c r="C224" s="45"/>
      <c r="D224" s="45"/>
      <c r="E224" s="45"/>
      <c r="F224" s="45"/>
      <c r="G224" s="45"/>
      <c r="H224" s="45"/>
      <c r="I224" s="45"/>
      <c r="J224" s="45"/>
      <c r="K224" s="45"/>
      <c r="L224" s="46"/>
      <c r="M224" s="45"/>
      <c r="N224" s="45"/>
      <c r="O224" s="45"/>
      <c r="P224" s="47"/>
      <c r="Q224" s="45"/>
      <c r="R224" s="45"/>
      <c r="S224" s="45"/>
      <c r="T224" s="45"/>
      <c r="U224" s="45"/>
      <c r="V224" s="45"/>
      <c r="W224" s="45"/>
      <c r="X224" s="45"/>
      <c r="Y224" s="45"/>
      <c r="Z224" s="48" t="s">
        <v>642</v>
      </c>
      <c r="AA224" s="45" t="s">
        <v>642</v>
      </c>
      <c r="AB224" s="45">
        <v>0</v>
      </c>
      <c r="AD224"/>
    </row>
    <row r="225" spans="1:30" ht="12.75" customHeight="1">
      <c r="A225" s="45"/>
      <c r="B225" s="45"/>
      <c r="C225" s="45"/>
      <c r="D225" s="45"/>
      <c r="E225" s="45"/>
      <c r="F225" s="45"/>
      <c r="G225" s="45"/>
      <c r="H225" s="45"/>
      <c r="I225" s="45"/>
      <c r="J225" s="45"/>
      <c r="K225" s="45"/>
      <c r="L225" s="46"/>
      <c r="M225" s="45"/>
      <c r="N225" s="45"/>
      <c r="O225" s="45"/>
      <c r="P225" s="47"/>
      <c r="Q225" s="45"/>
      <c r="R225" s="45"/>
      <c r="S225" s="45"/>
      <c r="T225" s="45"/>
      <c r="U225" s="45"/>
      <c r="V225" s="45"/>
      <c r="W225" s="45"/>
      <c r="X225" s="45"/>
      <c r="Y225" s="45"/>
      <c r="Z225" s="48" t="s">
        <v>642</v>
      </c>
      <c r="AA225" s="45" t="s">
        <v>642</v>
      </c>
      <c r="AB225" s="45">
        <v>0</v>
      </c>
      <c r="AD225"/>
    </row>
    <row r="226" spans="1:30" ht="12.75" customHeight="1">
      <c r="A226" s="45"/>
      <c r="B226" s="45"/>
      <c r="C226" s="45"/>
      <c r="D226" s="45"/>
      <c r="E226" s="45"/>
      <c r="F226" s="45"/>
      <c r="G226" s="45"/>
      <c r="H226" s="45"/>
      <c r="I226" s="45"/>
      <c r="J226" s="45"/>
      <c r="K226" s="45"/>
      <c r="L226" s="46"/>
      <c r="M226" s="45"/>
      <c r="N226" s="45"/>
      <c r="O226" s="45"/>
      <c r="P226" s="47"/>
      <c r="Q226" s="45"/>
      <c r="R226" s="45"/>
      <c r="S226" s="45"/>
      <c r="T226" s="45"/>
      <c r="U226" s="45"/>
      <c r="V226" s="45"/>
      <c r="W226" s="45"/>
      <c r="X226" s="45"/>
      <c r="Y226" s="45"/>
      <c r="Z226" s="48" t="s">
        <v>642</v>
      </c>
      <c r="AA226" s="45" t="s">
        <v>642</v>
      </c>
      <c r="AB226" s="45">
        <v>0</v>
      </c>
      <c r="AD226"/>
    </row>
    <row r="227" spans="1:30" ht="12.75" customHeight="1">
      <c r="A227" s="45"/>
      <c r="B227" s="45"/>
      <c r="C227" s="45"/>
      <c r="D227" s="45"/>
      <c r="E227" s="45"/>
      <c r="F227" s="45"/>
      <c r="G227" s="45"/>
      <c r="H227" s="45"/>
      <c r="I227" s="45"/>
      <c r="J227" s="45"/>
      <c r="K227" s="45"/>
      <c r="L227" s="46"/>
      <c r="M227" s="45"/>
      <c r="N227" s="45"/>
      <c r="O227" s="45"/>
      <c r="P227" s="47"/>
      <c r="Q227" s="45"/>
      <c r="R227" s="45"/>
      <c r="S227" s="45"/>
      <c r="T227" s="45"/>
      <c r="U227" s="45"/>
      <c r="V227" s="45"/>
      <c r="W227" s="45"/>
      <c r="X227" s="45"/>
      <c r="Y227" s="45"/>
      <c r="Z227" s="48" t="s">
        <v>642</v>
      </c>
      <c r="AA227" s="45" t="s">
        <v>642</v>
      </c>
      <c r="AB227" s="45">
        <v>0</v>
      </c>
      <c r="AD227"/>
    </row>
    <row r="228" spans="1:30" ht="12.75" customHeight="1">
      <c r="A228" s="45"/>
      <c r="B228" s="45"/>
      <c r="C228" s="45"/>
      <c r="D228" s="45"/>
      <c r="E228" s="45"/>
      <c r="F228" s="45"/>
      <c r="G228" s="45"/>
      <c r="H228" s="45"/>
      <c r="I228" s="45"/>
      <c r="J228" s="45"/>
      <c r="K228" s="45"/>
      <c r="L228" s="46"/>
      <c r="M228" s="45"/>
      <c r="N228" s="45"/>
      <c r="O228" s="45"/>
      <c r="P228" s="47"/>
      <c r="Q228" s="45"/>
      <c r="R228" s="45"/>
      <c r="S228" s="45"/>
      <c r="T228" s="45"/>
      <c r="U228" s="45"/>
      <c r="V228" s="45"/>
      <c r="W228" s="45"/>
      <c r="X228" s="45"/>
      <c r="Y228" s="45"/>
      <c r="Z228" s="48" t="s">
        <v>642</v>
      </c>
      <c r="AA228" s="45" t="s">
        <v>642</v>
      </c>
      <c r="AB228" s="45">
        <v>0</v>
      </c>
      <c r="AD228"/>
    </row>
    <row r="229" spans="1:30" ht="12.75" customHeight="1">
      <c r="A229" s="45"/>
      <c r="B229" s="45"/>
      <c r="C229" s="45"/>
      <c r="D229" s="45"/>
      <c r="E229" s="45"/>
      <c r="F229" s="45"/>
      <c r="G229" s="45"/>
      <c r="H229" s="45"/>
      <c r="I229" s="45"/>
      <c r="J229" s="45"/>
      <c r="K229" s="45"/>
      <c r="L229" s="46"/>
      <c r="M229" s="45"/>
      <c r="N229" s="45"/>
      <c r="O229" s="45"/>
      <c r="P229" s="47"/>
      <c r="Q229" s="45"/>
      <c r="R229" s="45"/>
      <c r="S229" s="45"/>
      <c r="T229" s="45"/>
      <c r="U229" s="45"/>
      <c r="V229" s="45"/>
      <c r="W229" s="45"/>
      <c r="X229" s="45"/>
      <c r="Y229" s="45"/>
      <c r="Z229" s="48" t="s">
        <v>642</v>
      </c>
      <c r="AA229" s="45" t="s">
        <v>642</v>
      </c>
      <c r="AB229" s="45">
        <v>0</v>
      </c>
      <c r="AD229"/>
    </row>
    <row r="230" spans="1:30" ht="12.75" customHeight="1">
      <c r="A230" s="45"/>
      <c r="B230" s="45"/>
      <c r="C230" s="45"/>
      <c r="D230" s="45"/>
      <c r="E230" s="45"/>
      <c r="F230" s="45"/>
      <c r="G230" s="45"/>
      <c r="H230" s="45"/>
      <c r="I230" s="45"/>
      <c r="J230" s="45"/>
      <c r="K230" s="45"/>
      <c r="L230" s="46"/>
      <c r="M230" s="45"/>
      <c r="N230" s="45"/>
      <c r="O230" s="45"/>
      <c r="P230" s="47"/>
      <c r="Q230" s="45"/>
      <c r="R230" s="45"/>
      <c r="S230" s="45"/>
      <c r="T230" s="45"/>
      <c r="U230" s="45"/>
      <c r="V230" s="45"/>
      <c r="W230" s="45"/>
      <c r="X230" s="45"/>
      <c r="Y230" s="45"/>
      <c r="Z230" s="48" t="s">
        <v>642</v>
      </c>
      <c r="AA230" s="45" t="s">
        <v>642</v>
      </c>
      <c r="AB230" s="45">
        <v>0</v>
      </c>
      <c r="AD230"/>
    </row>
    <row r="231" spans="1:30" ht="12.75" customHeight="1">
      <c r="A231" s="45"/>
      <c r="B231" s="45"/>
      <c r="C231" s="45"/>
      <c r="D231" s="45"/>
      <c r="E231" s="45"/>
      <c r="F231" s="45"/>
      <c r="G231" s="45"/>
      <c r="H231" s="45"/>
      <c r="I231" s="45"/>
      <c r="J231" s="45"/>
      <c r="K231" s="45"/>
      <c r="L231" s="46"/>
      <c r="M231" s="45"/>
      <c r="N231" s="45"/>
      <c r="O231" s="45"/>
      <c r="P231" s="47"/>
      <c r="Q231" s="45"/>
      <c r="R231" s="45"/>
      <c r="S231" s="45"/>
      <c r="T231" s="45"/>
      <c r="U231" s="45"/>
      <c r="V231" s="45"/>
      <c r="W231" s="45"/>
      <c r="X231" s="45"/>
      <c r="Y231" s="45"/>
      <c r="Z231" s="48" t="s">
        <v>642</v>
      </c>
      <c r="AA231" s="45" t="s">
        <v>642</v>
      </c>
      <c r="AB231" s="45">
        <v>0</v>
      </c>
      <c r="AD231"/>
    </row>
    <row r="232" spans="1:30" ht="12.75" customHeight="1">
      <c r="A232" s="45"/>
      <c r="B232" s="45"/>
      <c r="C232" s="45"/>
      <c r="D232" s="45"/>
      <c r="E232" s="45"/>
      <c r="F232" s="45"/>
      <c r="G232" s="45"/>
      <c r="H232" s="45"/>
      <c r="I232" s="45"/>
      <c r="J232" s="45"/>
      <c r="K232" s="45"/>
      <c r="L232" s="46"/>
      <c r="M232" s="45"/>
      <c r="N232" s="45"/>
      <c r="O232" s="45"/>
      <c r="P232" s="47"/>
      <c r="Q232" s="45"/>
      <c r="R232" s="45"/>
      <c r="S232" s="45"/>
      <c r="T232" s="45"/>
      <c r="U232" s="45"/>
      <c r="V232" s="45"/>
      <c r="W232" s="45"/>
      <c r="X232" s="45"/>
      <c r="Y232" s="45"/>
      <c r="Z232" s="48" t="s">
        <v>642</v>
      </c>
      <c r="AA232" s="45" t="s">
        <v>642</v>
      </c>
      <c r="AB232" s="45">
        <v>0</v>
      </c>
      <c r="AD232"/>
    </row>
    <row r="233" spans="1:30" ht="12.75" customHeight="1">
      <c r="A233" s="45"/>
      <c r="B233" s="45"/>
      <c r="C233" s="45"/>
      <c r="D233" s="45"/>
      <c r="E233" s="45"/>
      <c r="F233" s="45"/>
      <c r="G233" s="45"/>
      <c r="H233" s="45"/>
      <c r="I233" s="45"/>
      <c r="J233" s="45"/>
      <c r="K233" s="45"/>
      <c r="L233" s="46"/>
      <c r="M233" s="45"/>
      <c r="N233" s="45"/>
      <c r="O233" s="45"/>
      <c r="P233" s="47"/>
      <c r="Q233" s="45"/>
      <c r="R233" s="45"/>
      <c r="S233" s="45"/>
      <c r="T233" s="45"/>
      <c r="U233" s="45"/>
      <c r="V233" s="45"/>
      <c r="W233" s="45"/>
      <c r="X233" s="45"/>
      <c r="Y233" s="45"/>
      <c r="Z233" s="48" t="s">
        <v>642</v>
      </c>
      <c r="AA233" s="45" t="s">
        <v>642</v>
      </c>
      <c r="AB233" s="45">
        <v>0</v>
      </c>
      <c r="AD233"/>
    </row>
    <row r="234" spans="1:30" ht="12.75" customHeight="1">
      <c r="A234" s="45"/>
      <c r="B234" s="45"/>
      <c r="C234" s="45"/>
      <c r="D234" s="45"/>
      <c r="E234" s="45"/>
      <c r="F234" s="45"/>
      <c r="G234" s="45"/>
      <c r="H234" s="45"/>
      <c r="I234" s="45"/>
      <c r="J234" s="45"/>
      <c r="K234" s="45"/>
      <c r="L234" s="46"/>
      <c r="M234" s="45"/>
      <c r="N234" s="45"/>
      <c r="O234" s="45"/>
      <c r="P234" s="47"/>
      <c r="Q234" s="45"/>
      <c r="R234" s="45"/>
      <c r="S234" s="45"/>
      <c r="T234" s="45"/>
      <c r="U234" s="45"/>
      <c r="V234" s="45"/>
      <c r="W234" s="45"/>
      <c r="X234" s="45"/>
      <c r="Y234" s="45"/>
      <c r="Z234" s="48" t="s">
        <v>642</v>
      </c>
      <c r="AA234" s="45" t="s">
        <v>642</v>
      </c>
      <c r="AB234" s="45">
        <v>0</v>
      </c>
      <c r="AD234"/>
    </row>
    <row r="235" spans="1:30" ht="12.75" customHeight="1">
      <c r="A235" s="45"/>
      <c r="B235" s="45"/>
      <c r="C235" s="45"/>
      <c r="D235" s="45"/>
      <c r="E235" s="45"/>
      <c r="F235" s="45"/>
      <c r="G235" s="45"/>
      <c r="H235" s="45"/>
      <c r="I235" s="45"/>
      <c r="J235" s="45"/>
      <c r="K235" s="45"/>
      <c r="L235" s="46"/>
      <c r="M235" s="45"/>
      <c r="N235" s="45"/>
      <c r="O235" s="45"/>
      <c r="P235" s="47"/>
      <c r="Q235" s="45"/>
      <c r="R235" s="45"/>
      <c r="S235" s="45"/>
      <c r="T235" s="45"/>
      <c r="U235" s="45"/>
      <c r="V235" s="45"/>
      <c r="W235" s="45"/>
      <c r="X235" s="45"/>
      <c r="Y235" s="45"/>
      <c r="Z235" s="48" t="s">
        <v>642</v>
      </c>
      <c r="AA235" s="45" t="s">
        <v>642</v>
      </c>
      <c r="AB235" s="45">
        <v>0</v>
      </c>
      <c r="AD235"/>
    </row>
    <row r="236" spans="1:30" ht="12.75" customHeight="1">
      <c r="A236" s="45"/>
      <c r="B236" s="45"/>
      <c r="C236" s="45"/>
      <c r="D236" s="45"/>
      <c r="E236" s="45"/>
      <c r="F236" s="45"/>
      <c r="G236" s="45"/>
      <c r="H236" s="45"/>
      <c r="I236" s="45"/>
      <c r="J236" s="45"/>
      <c r="K236" s="45"/>
      <c r="L236" s="46"/>
      <c r="M236" s="45"/>
      <c r="N236" s="45"/>
      <c r="O236" s="45"/>
      <c r="P236" s="47"/>
      <c r="Q236" s="45"/>
      <c r="R236" s="45"/>
      <c r="S236" s="45"/>
      <c r="T236" s="45"/>
      <c r="U236" s="45"/>
      <c r="V236" s="45"/>
      <c r="W236" s="45"/>
      <c r="X236" s="45"/>
      <c r="Y236" s="45"/>
      <c r="Z236" s="48" t="s">
        <v>642</v>
      </c>
      <c r="AA236" s="45" t="s">
        <v>642</v>
      </c>
      <c r="AB236" s="45">
        <v>0</v>
      </c>
      <c r="AD236"/>
    </row>
    <row r="237" spans="1:30" ht="12.75" customHeight="1">
      <c r="A237" s="45"/>
      <c r="B237" s="45"/>
      <c r="C237" s="45"/>
      <c r="D237" s="45"/>
      <c r="E237" s="45"/>
      <c r="F237" s="45"/>
      <c r="G237" s="45"/>
      <c r="H237" s="45"/>
      <c r="I237" s="45"/>
      <c r="J237" s="45"/>
      <c r="K237" s="45"/>
      <c r="L237" s="46"/>
      <c r="M237" s="45"/>
      <c r="N237" s="45"/>
      <c r="O237" s="45"/>
      <c r="P237" s="47"/>
      <c r="Q237" s="45"/>
      <c r="R237" s="45"/>
      <c r="S237" s="45"/>
      <c r="T237" s="45"/>
      <c r="U237" s="45"/>
      <c r="V237" s="45"/>
      <c r="W237" s="45"/>
      <c r="X237" s="45"/>
      <c r="Y237" s="45"/>
      <c r="Z237" s="48" t="s">
        <v>642</v>
      </c>
      <c r="AA237" s="45" t="s">
        <v>642</v>
      </c>
      <c r="AB237" s="45">
        <v>0</v>
      </c>
      <c r="AD237"/>
    </row>
    <row r="238" spans="1:30" ht="12.75" customHeight="1">
      <c r="A238" s="45"/>
      <c r="B238" s="45"/>
      <c r="C238" s="45"/>
      <c r="D238" s="45"/>
      <c r="E238" s="45"/>
      <c r="F238" s="45"/>
      <c r="G238" s="45"/>
      <c r="H238" s="45"/>
      <c r="I238" s="45"/>
      <c r="J238" s="45"/>
      <c r="K238" s="45"/>
      <c r="L238" s="46"/>
      <c r="M238" s="45"/>
      <c r="N238" s="45"/>
      <c r="O238" s="45"/>
      <c r="P238" s="47"/>
      <c r="Q238" s="45"/>
      <c r="R238" s="45"/>
      <c r="S238" s="45"/>
      <c r="T238" s="45"/>
      <c r="U238" s="45"/>
      <c r="V238" s="45"/>
      <c r="W238" s="45"/>
      <c r="X238" s="45"/>
      <c r="Y238" s="45"/>
      <c r="Z238" s="48" t="s">
        <v>642</v>
      </c>
      <c r="AA238" s="45" t="s">
        <v>642</v>
      </c>
      <c r="AB238" s="45">
        <v>0</v>
      </c>
      <c r="AD238"/>
    </row>
    <row r="239" spans="1:30" ht="12.75" customHeight="1">
      <c r="A239" s="45"/>
      <c r="B239" s="45"/>
      <c r="C239" s="45"/>
      <c r="D239" s="45"/>
      <c r="E239" s="45"/>
      <c r="F239" s="45"/>
      <c r="G239" s="45"/>
      <c r="H239" s="45"/>
      <c r="I239" s="45"/>
      <c r="J239" s="45"/>
      <c r="K239" s="45"/>
      <c r="L239" s="46"/>
      <c r="M239" s="45"/>
      <c r="N239" s="45"/>
      <c r="O239" s="45"/>
      <c r="P239" s="47"/>
      <c r="Q239" s="45"/>
      <c r="R239" s="45"/>
      <c r="S239" s="45"/>
      <c r="T239" s="45"/>
      <c r="U239" s="45"/>
      <c r="V239" s="45"/>
      <c r="W239" s="45"/>
      <c r="X239" s="45"/>
      <c r="Y239" s="45"/>
      <c r="Z239" s="48" t="s">
        <v>642</v>
      </c>
      <c r="AA239" s="45" t="s">
        <v>642</v>
      </c>
      <c r="AB239" s="45">
        <v>0</v>
      </c>
      <c r="AD239"/>
    </row>
    <row r="240" spans="1:30" ht="12.75" customHeight="1">
      <c r="A240" s="45"/>
      <c r="B240" s="45"/>
      <c r="C240" s="45"/>
      <c r="D240" s="45"/>
      <c r="E240" s="45"/>
      <c r="F240" s="45"/>
      <c r="G240" s="45"/>
      <c r="H240" s="45"/>
      <c r="I240" s="45"/>
      <c r="J240" s="45"/>
      <c r="K240" s="45"/>
      <c r="L240" s="46"/>
      <c r="M240" s="45"/>
      <c r="N240" s="45"/>
      <c r="O240" s="45"/>
      <c r="P240" s="47"/>
      <c r="Q240" s="45"/>
      <c r="R240" s="45"/>
      <c r="S240" s="45"/>
      <c r="T240" s="45"/>
      <c r="U240" s="45"/>
      <c r="V240" s="45"/>
      <c r="W240" s="45"/>
      <c r="X240" s="45"/>
      <c r="Y240" s="45"/>
      <c r="Z240" s="48" t="s">
        <v>642</v>
      </c>
      <c r="AA240" s="45" t="s">
        <v>642</v>
      </c>
      <c r="AB240" s="45">
        <v>0</v>
      </c>
      <c r="AD240"/>
    </row>
    <row r="241" spans="1:30" ht="12.75" customHeight="1">
      <c r="A241" s="45"/>
      <c r="B241" s="45"/>
      <c r="C241" s="45"/>
      <c r="D241" s="45"/>
      <c r="E241" s="45"/>
      <c r="F241" s="45"/>
      <c r="G241" s="45"/>
      <c r="H241" s="45"/>
      <c r="I241" s="45"/>
      <c r="J241" s="45"/>
      <c r="K241" s="45"/>
      <c r="L241" s="46"/>
      <c r="M241" s="45"/>
      <c r="N241" s="45"/>
      <c r="O241" s="45"/>
      <c r="P241" s="47"/>
      <c r="Q241" s="45"/>
      <c r="R241" s="45"/>
      <c r="S241" s="45"/>
      <c r="T241" s="45"/>
      <c r="U241" s="45"/>
      <c r="V241" s="45"/>
      <c r="W241" s="45"/>
      <c r="X241" s="45"/>
      <c r="Y241" s="45"/>
      <c r="Z241" s="48" t="s">
        <v>642</v>
      </c>
      <c r="AA241" s="45" t="s">
        <v>642</v>
      </c>
      <c r="AB241" s="45">
        <v>0</v>
      </c>
      <c r="AD241"/>
    </row>
    <row r="242" spans="1:30" ht="12.75" customHeight="1">
      <c r="A242" s="45"/>
      <c r="B242" s="45"/>
      <c r="C242" s="45"/>
      <c r="D242" s="45"/>
      <c r="E242" s="45"/>
      <c r="F242" s="45"/>
      <c r="G242" s="45"/>
      <c r="H242" s="45"/>
      <c r="I242" s="45"/>
      <c r="J242" s="45"/>
      <c r="K242" s="45"/>
      <c r="L242" s="46"/>
      <c r="M242" s="45"/>
      <c r="N242" s="45"/>
      <c r="O242" s="45"/>
      <c r="P242" s="47"/>
      <c r="Q242" s="45"/>
      <c r="R242" s="45"/>
      <c r="S242" s="45"/>
      <c r="T242" s="45"/>
      <c r="U242" s="45"/>
      <c r="V242" s="45"/>
      <c r="W242" s="45"/>
      <c r="X242" s="45"/>
      <c r="Y242" s="45"/>
      <c r="Z242" s="48" t="s">
        <v>642</v>
      </c>
      <c r="AA242" s="45" t="s">
        <v>642</v>
      </c>
      <c r="AB242" s="45">
        <v>0</v>
      </c>
      <c r="AD242"/>
    </row>
    <row r="243" spans="1:30" ht="12.75" customHeight="1">
      <c r="A243" s="45"/>
      <c r="B243" s="45"/>
      <c r="C243" s="45"/>
      <c r="D243" s="45"/>
      <c r="E243" s="45"/>
      <c r="F243" s="45"/>
      <c r="G243" s="45"/>
      <c r="H243" s="45"/>
      <c r="I243" s="45"/>
      <c r="J243" s="45"/>
      <c r="K243" s="45"/>
      <c r="L243" s="46"/>
      <c r="M243" s="45"/>
      <c r="N243" s="45"/>
      <c r="O243" s="45"/>
      <c r="P243" s="47"/>
      <c r="Q243" s="45"/>
      <c r="R243" s="45"/>
      <c r="S243" s="45"/>
      <c r="T243" s="45"/>
      <c r="U243" s="45"/>
      <c r="V243" s="45"/>
      <c r="W243" s="45"/>
      <c r="X243" s="45"/>
      <c r="Y243" s="45"/>
      <c r="Z243" s="48" t="s">
        <v>642</v>
      </c>
      <c r="AA243" s="45" t="s">
        <v>642</v>
      </c>
      <c r="AB243" s="45">
        <v>0</v>
      </c>
      <c r="AD243"/>
    </row>
    <row r="244" spans="1:30" ht="12.75" customHeight="1">
      <c r="A244" s="45"/>
      <c r="B244" s="45"/>
      <c r="C244" s="45"/>
      <c r="D244" s="45"/>
      <c r="E244" s="45"/>
      <c r="F244" s="45"/>
      <c r="G244" s="45"/>
      <c r="H244" s="45"/>
      <c r="I244" s="45"/>
      <c r="J244" s="45"/>
      <c r="K244" s="45"/>
      <c r="L244" s="46"/>
      <c r="M244" s="45"/>
      <c r="N244" s="45"/>
      <c r="O244" s="45"/>
      <c r="P244" s="47"/>
      <c r="Q244" s="45"/>
      <c r="R244" s="45"/>
      <c r="S244" s="45"/>
      <c r="T244" s="45"/>
      <c r="U244" s="45"/>
      <c r="V244" s="45"/>
      <c r="W244" s="45"/>
      <c r="X244" s="45"/>
      <c r="Y244" s="45"/>
      <c r="Z244" s="48" t="s">
        <v>642</v>
      </c>
      <c r="AA244" s="45" t="s">
        <v>642</v>
      </c>
      <c r="AB244" s="45">
        <v>0</v>
      </c>
      <c r="AD244"/>
    </row>
    <row r="245" spans="1:30" ht="12.75" customHeight="1">
      <c r="A245" s="45"/>
      <c r="B245" s="45"/>
      <c r="C245" s="45"/>
      <c r="D245" s="45"/>
      <c r="E245" s="45"/>
      <c r="F245" s="45"/>
      <c r="G245" s="45"/>
      <c r="H245" s="45"/>
      <c r="I245" s="45"/>
      <c r="J245" s="45"/>
      <c r="K245" s="45"/>
      <c r="L245" s="46"/>
      <c r="M245" s="45"/>
      <c r="N245" s="45"/>
      <c r="O245" s="45"/>
      <c r="P245" s="47"/>
      <c r="Q245" s="45"/>
      <c r="R245" s="45"/>
      <c r="S245" s="45"/>
      <c r="T245" s="45"/>
      <c r="U245" s="45"/>
      <c r="V245" s="45"/>
      <c r="W245" s="45"/>
      <c r="X245" s="45"/>
      <c r="Y245" s="45"/>
      <c r="Z245" s="48" t="s">
        <v>642</v>
      </c>
      <c r="AA245" s="45" t="s">
        <v>642</v>
      </c>
      <c r="AB245" s="45">
        <v>0</v>
      </c>
      <c r="AD245"/>
    </row>
    <row r="246" spans="1:30" ht="12.75" customHeight="1">
      <c r="A246" s="45"/>
      <c r="B246" s="45"/>
      <c r="C246" s="45"/>
      <c r="D246" s="45"/>
      <c r="E246" s="45"/>
      <c r="F246" s="45"/>
      <c r="G246" s="45"/>
      <c r="H246" s="45"/>
      <c r="I246" s="45"/>
      <c r="J246" s="45"/>
      <c r="K246" s="45"/>
      <c r="L246" s="46"/>
      <c r="M246" s="45"/>
      <c r="N246" s="45"/>
      <c r="O246" s="45"/>
      <c r="P246" s="47"/>
      <c r="Q246" s="45"/>
      <c r="R246" s="45"/>
      <c r="S246" s="45"/>
      <c r="T246" s="45"/>
      <c r="U246" s="45"/>
      <c r="V246" s="45"/>
      <c r="W246" s="45"/>
      <c r="X246" s="45"/>
      <c r="Y246" s="45"/>
      <c r="Z246" s="48" t="s">
        <v>642</v>
      </c>
      <c r="AA246" s="45" t="s">
        <v>642</v>
      </c>
      <c r="AB246" s="45">
        <v>0</v>
      </c>
      <c r="AD246"/>
    </row>
    <row r="247" spans="1:30" ht="12.75" customHeight="1">
      <c r="A247" s="45"/>
      <c r="B247" s="45"/>
      <c r="C247" s="45"/>
      <c r="D247" s="45"/>
      <c r="E247" s="45"/>
      <c r="F247" s="45"/>
      <c r="G247" s="45"/>
      <c r="H247" s="45"/>
      <c r="I247" s="45"/>
      <c r="J247" s="45"/>
      <c r="K247" s="45"/>
      <c r="L247" s="46"/>
      <c r="M247" s="45"/>
      <c r="N247" s="45"/>
      <c r="O247" s="45"/>
      <c r="P247" s="47"/>
      <c r="Q247" s="45"/>
      <c r="R247" s="45"/>
      <c r="S247" s="45"/>
      <c r="T247" s="45"/>
      <c r="U247" s="45"/>
      <c r="V247" s="45"/>
      <c r="W247" s="45"/>
      <c r="X247" s="45"/>
      <c r="Y247" s="45"/>
      <c r="Z247" s="48" t="s">
        <v>642</v>
      </c>
      <c r="AA247" s="45" t="s">
        <v>642</v>
      </c>
      <c r="AB247" s="45">
        <v>0</v>
      </c>
      <c r="AD247"/>
    </row>
    <row r="248" spans="1:30" ht="12.75" customHeight="1">
      <c r="A248" s="45"/>
      <c r="B248" s="45"/>
      <c r="C248" s="45"/>
      <c r="D248" s="45"/>
      <c r="E248" s="45"/>
      <c r="F248" s="45"/>
      <c r="G248" s="45"/>
      <c r="H248" s="45"/>
      <c r="I248" s="45"/>
      <c r="J248" s="45"/>
      <c r="K248" s="45"/>
      <c r="L248" s="46"/>
      <c r="M248" s="45"/>
      <c r="N248" s="45"/>
      <c r="O248" s="45"/>
      <c r="P248" s="47"/>
      <c r="Q248" s="45"/>
      <c r="R248" s="45"/>
      <c r="S248" s="45"/>
      <c r="T248" s="45"/>
      <c r="U248" s="45"/>
      <c r="V248" s="45"/>
      <c r="W248" s="45"/>
      <c r="X248" s="45"/>
      <c r="Y248" s="45"/>
      <c r="Z248" s="48" t="s">
        <v>642</v>
      </c>
      <c r="AA248" s="45" t="s">
        <v>642</v>
      </c>
      <c r="AB248" s="45">
        <v>0</v>
      </c>
      <c r="AD248"/>
    </row>
    <row r="249" spans="1:30" ht="12.75" customHeight="1">
      <c r="A249" s="45"/>
      <c r="B249" s="45"/>
      <c r="C249" s="45"/>
      <c r="D249" s="45"/>
      <c r="E249" s="45"/>
      <c r="F249" s="45"/>
      <c r="G249" s="45"/>
      <c r="H249" s="45"/>
      <c r="I249" s="45"/>
      <c r="J249" s="45"/>
      <c r="K249" s="45"/>
      <c r="L249" s="46"/>
      <c r="M249" s="45"/>
      <c r="N249" s="45"/>
      <c r="O249" s="45"/>
      <c r="P249" s="47"/>
      <c r="Q249" s="45"/>
      <c r="R249" s="45"/>
      <c r="S249" s="45"/>
      <c r="T249" s="45"/>
      <c r="U249" s="45"/>
      <c r="V249" s="45"/>
      <c r="W249" s="45"/>
      <c r="X249" s="45"/>
      <c r="Y249" s="45"/>
      <c r="Z249" s="48" t="s">
        <v>642</v>
      </c>
      <c r="AA249" s="45" t="s">
        <v>642</v>
      </c>
      <c r="AB249" s="45">
        <v>0</v>
      </c>
      <c r="AD249"/>
    </row>
    <row r="250" spans="1:30" ht="12.75" customHeight="1">
      <c r="A250" s="45"/>
      <c r="B250" s="45"/>
      <c r="C250" s="45"/>
      <c r="D250" s="45"/>
      <c r="E250" s="45"/>
      <c r="F250" s="45"/>
      <c r="G250" s="45"/>
      <c r="H250" s="45"/>
      <c r="I250" s="45"/>
      <c r="J250" s="45"/>
      <c r="K250" s="45"/>
      <c r="L250" s="46"/>
      <c r="M250" s="45"/>
      <c r="N250" s="45"/>
      <c r="O250" s="45"/>
      <c r="P250" s="47"/>
      <c r="Q250" s="45"/>
      <c r="R250" s="45"/>
      <c r="S250" s="45"/>
      <c r="T250" s="45"/>
      <c r="U250" s="45"/>
      <c r="V250" s="45"/>
      <c r="W250" s="45"/>
      <c r="X250" s="45"/>
      <c r="Y250" s="45"/>
      <c r="Z250" s="48" t="s">
        <v>642</v>
      </c>
      <c r="AA250" s="45" t="s">
        <v>642</v>
      </c>
      <c r="AB250" s="45">
        <v>0</v>
      </c>
      <c r="AD250"/>
    </row>
    <row r="251" spans="1:30" ht="12.75" customHeight="1">
      <c r="A251" s="45"/>
      <c r="B251" s="45"/>
      <c r="C251" s="45"/>
      <c r="D251" s="45"/>
      <c r="E251" s="45"/>
      <c r="F251" s="45"/>
      <c r="G251" s="45"/>
      <c r="H251" s="45"/>
      <c r="I251" s="45"/>
      <c r="J251" s="45"/>
      <c r="K251" s="45"/>
      <c r="L251" s="46"/>
      <c r="M251" s="45"/>
      <c r="N251" s="45"/>
      <c r="O251" s="45"/>
      <c r="P251" s="47"/>
      <c r="Q251" s="45"/>
      <c r="R251" s="45"/>
      <c r="S251" s="45"/>
      <c r="T251" s="45"/>
      <c r="U251" s="45"/>
      <c r="V251" s="45"/>
      <c r="W251" s="45"/>
      <c r="X251" s="45"/>
      <c r="Y251" s="45"/>
      <c r="Z251" s="48" t="s">
        <v>642</v>
      </c>
      <c r="AA251" s="45" t="s">
        <v>642</v>
      </c>
      <c r="AB251" s="45">
        <v>0</v>
      </c>
      <c r="AD251"/>
    </row>
    <row r="252" spans="1:30" ht="12.75" customHeight="1">
      <c r="A252" s="45"/>
      <c r="B252" s="45"/>
      <c r="C252" s="45"/>
      <c r="D252" s="45"/>
      <c r="E252" s="45"/>
      <c r="F252" s="45"/>
      <c r="G252" s="45"/>
      <c r="H252" s="45"/>
      <c r="I252" s="45"/>
      <c r="J252" s="45"/>
      <c r="K252" s="45"/>
      <c r="L252" s="46"/>
      <c r="M252" s="45"/>
      <c r="N252" s="45"/>
      <c r="O252" s="45"/>
      <c r="P252" s="47"/>
      <c r="Q252" s="45"/>
      <c r="R252" s="45"/>
      <c r="S252" s="45"/>
      <c r="T252" s="45"/>
      <c r="U252" s="45"/>
      <c r="V252" s="45"/>
      <c r="W252" s="45"/>
      <c r="X252" s="45"/>
      <c r="Y252" s="45"/>
      <c r="Z252" s="48" t="s">
        <v>642</v>
      </c>
      <c r="AA252" s="45" t="s">
        <v>642</v>
      </c>
      <c r="AB252" s="45">
        <v>0</v>
      </c>
      <c r="AD252"/>
    </row>
    <row r="253" spans="1:30" ht="12.75" customHeight="1">
      <c r="A253" s="45"/>
      <c r="B253" s="45"/>
      <c r="C253" s="45"/>
      <c r="D253" s="45"/>
      <c r="E253" s="45"/>
      <c r="F253" s="45"/>
      <c r="G253" s="45"/>
      <c r="H253" s="45"/>
      <c r="I253" s="45"/>
      <c r="J253" s="45"/>
      <c r="K253" s="45"/>
      <c r="L253" s="46"/>
      <c r="M253" s="45"/>
      <c r="N253" s="45"/>
      <c r="O253" s="45"/>
      <c r="P253" s="47"/>
      <c r="Q253" s="45"/>
      <c r="R253" s="45"/>
      <c r="S253" s="45"/>
      <c r="T253" s="45"/>
      <c r="U253" s="45"/>
      <c r="V253" s="45"/>
      <c r="W253" s="45"/>
      <c r="X253" s="45"/>
      <c r="Y253" s="45"/>
      <c r="Z253" s="48" t="s">
        <v>642</v>
      </c>
      <c r="AA253" s="45" t="s">
        <v>642</v>
      </c>
      <c r="AB253" s="45">
        <v>0</v>
      </c>
      <c r="AD253"/>
    </row>
    <row r="254" spans="1:30" ht="12.75" customHeight="1">
      <c r="A254" s="45"/>
      <c r="B254" s="45"/>
      <c r="C254" s="45"/>
      <c r="D254" s="45"/>
      <c r="E254" s="45"/>
      <c r="F254" s="45"/>
      <c r="G254" s="45"/>
      <c r="H254" s="45"/>
      <c r="I254" s="45"/>
      <c r="J254" s="45"/>
      <c r="K254" s="45"/>
      <c r="L254" s="46"/>
      <c r="M254" s="45"/>
      <c r="N254" s="45"/>
      <c r="O254" s="45"/>
      <c r="P254" s="47"/>
      <c r="Q254" s="45"/>
      <c r="R254" s="45"/>
      <c r="S254" s="45"/>
      <c r="T254" s="45"/>
      <c r="U254" s="45"/>
      <c r="V254" s="45"/>
      <c r="W254" s="45"/>
      <c r="X254" s="45"/>
      <c r="Y254" s="45"/>
      <c r="Z254" s="48" t="s">
        <v>642</v>
      </c>
      <c r="AA254" s="45" t="s">
        <v>642</v>
      </c>
      <c r="AB254" s="45">
        <v>0</v>
      </c>
      <c r="AD254"/>
    </row>
    <row r="255" spans="1:30" ht="12.75" customHeight="1">
      <c r="A255" s="45"/>
      <c r="B255" s="45"/>
      <c r="C255" s="45"/>
      <c r="D255" s="45"/>
      <c r="E255" s="45"/>
      <c r="F255" s="45"/>
      <c r="G255" s="45"/>
      <c r="H255" s="45"/>
      <c r="I255" s="45"/>
      <c r="J255" s="45"/>
      <c r="K255" s="45"/>
      <c r="L255" s="46"/>
      <c r="M255" s="45"/>
      <c r="N255" s="45"/>
      <c r="O255" s="45"/>
      <c r="P255" s="47"/>
      <c r="Q255" s="45"/>
      <c r="R255" s="45"/>
      <c r="S255" s="45"/>
      <c r="T255" s="45"/>
      <c r="U255" s="45"/>
      <c r="V255" s="45"/>
      <c r="W255" s="45"/>
      <c r="X255" s="45"/>
      <c r="Y255" s="45"/>
      <c r="Z255" s="48" t="s">
        <v>642</v>
      </c>
      <c r="AA255" s="45" t="s">
        <v>642</v>
      </c>
      <c r="AB255" s="45">
        <v>0</v>
      </c>
      <c r="AD255"/>
    </row>
    <row r="256" spans="1:30" ht="12.75" customHeight="1">
      <c r="A256" s="45"/>
      <c r="B256" s="45"/>
      <c r="C256" s="45"/>
      <c r="D256" s="45"/>
      <c r="E256" s="45"/>
      <c r="F256" s="45"/>
      <c r="G256" s="45"/>
      <c r="H256" s="45"/>
      <c r="I256" s="45"/>
      <c r="J256" s="45"/>
      <c r="K256" s="45"/>
      <c r="L256" s="46"/>
      <c r="M256" s="45"/>
      <c r="N256" s="45"/>
      <c r="O256" s="45"/>
      <c r="P256" s="47"/>
      <c r="Q256" s="45"/>
      <c r="R256" s="45"/>
      <c r="S256" s="45"/>
      <c r="T256" s="45"/>
      <c r="U256" s="45"/>
      <c r="V256" s="45"/>
      <c r="W256" s="45"/>
      <c r="X256" s="45"/>
      <c r="Y256" s="45"/>
      <c r="Z256" s="48" t="s">
        <v>642</v>
      </c>
      <c r="AA256" s="45" t="s">
        <v>642</v>
      </c>
      <c r="AB256" s="45">
        <v>0</v>
      </c>
      <c r="AD256"/>
    </row>
    <row r="257" spans="1:30" ht="12.75" customHeight="1">
      <c r="A257" s="45"/>
      <c r="B257" s="45"/>
      <c r="C257" s="45"/>
      <c r="D257" s="45"/>
      <c r="E257" s="45"/>
      <c r="F257" s="45"/>
      <c r="G257" s="45"/>
      <c r="H257" s="45"/>
      <c r="I257" s="45"/>
      <c r="J257" s="45"/>
      <c r="K257" s="45"/>
      <c r="L257" s="46"/>
      <c r="M257" s="45"/>
      <c r="N257" s="45"/>
      <c r="O257" s="45"/>
      <c r="P257" s="47"/>
      <c r="Q257" s="45"/>
      <c r="R257" s="45"/>
      <c r="S257" s="45"/>
      <c r="T257" s="45"/>
      <c r="U257" s="45"/>
      <c r="V257" s="45"/>
      <c r="W257" s="45"/>
      <c r="X257" s="45"/>
      <c r="Y257" s="45"/>
      <c r="Z257" s="48" t="s">
        <v>642</v>
      </c>
      <c r="AA257" s="45" t="s">
        <v>642</v>
      </c>
      <c r="AB257" s="45">
        <v>0</v>
      </c>
      <c r="AD257"/>
    </row>
    <row r="258" spans="1:30" ht="12.75" customHeight="1">
      <c r="A258" s="45"/>
      <c r="B258" s="45"/>
      <c r="C258" s="45"/>
      <c r="D258" s="45"/>
      <c r="E258" s="45"/>
      <c r="F258" s="45"/>
      <c r="G258" s="45"/>
      <c r="H258" s="45"/>
      <c r="I258" s="45"/>
      <c r="J258" s="45"/>
      <c r="K258" s="45"/>
      <c r="L258" s="46"/>
      <c r="M258" s="45"/>
      <c r="N258" s="45"/>
      <c r="O258" s="45"/>
      <c r="P258" s="47"/>
      <c r="Q258" s="45"/>
      <c r="R258" s="45"/>
      <c r="S258" s="45"/>
      <c r="T258" s="45"/>
      <c r="U258" s="45"/>
      <c r="V258" s="45"/>
      <c r="W258" s="45"/>
      <c r="X258" s="45"/>
      <c r="Y258" s="45"/>
      <c r="Z258" s="48" t="s">
        <v>642</v>
      </c>
      <c r="AA258" s="45" t="s">
        <v>642</v>
      </c>
      <c r="AB258" s="45">
        <v>0</v>
      </c>
      <c r="AD258"/>
    </row>
    <row r="259" spans="1:30" ht="12.75" customHeight="1">
      <c r="A259" s="45"/>
      <c r="B259" s="45"/>
      <c r="C259" s="45"/>
      <c r="D259" s="45"/>
      <c r="E259" s="45"/>
      <c r="F259" s="45"/>
      <c r="G259" s="45"/>
      <c r="H259" s="45"/>
      <c r="I259" s="45"/>
      <c r="J259" s="45"/>
      <c r="K259" s="45"/>
      <c r="L259" s="46"/>
      <c r="M259" s="45"/>
      <c r="N259" s="45"/>
      <c r="O259" s="45"/>
      <c r="P259" s="47"/>
      <c r="Q259" s="45"/>
      <c r="R259" s="45"/>
      <c r="S259" s="45"/>
      <c r="T259" s="45"/>
      <c r="U259" s="45"/>
      <c r="V259" s="45"/>
      <c r="W259" s="45"/>
      <c r="X259" s="45"/>
      <c r="Y259" s="45"/>
      <c r="Z259" s="48" t="s">
        <v>642</v>
      </c>
      <c r="AA259" s="45" t="s">
        <v>642</v>
      </c>
      <c r="AB259" s="45">
        <v>0</v>
      </c>
      <c r="AD259"/>
    </row>
    <row r="260" spans="1:30" ht="12.75" customHeight="1">
      <c r="A260" s="45"/>
      <c r="B260" s="45"/>
      <c r="C260" s="45"/>
      <c r="D260" s="45"/>
      <c r="E260" s="45"/>
      <c r="F260" s="45"/>
      <c r="G260" s="45"/>
      <c r="H260" s="45"/>
      <c r="I260" s="45"/>
      <c r="J260" s="45"/>
      <c r="K260" s="45"/>
      <c r="L260" s="46"/>
      <c r="M260" s="45"/>
      <c r="N260" s="45"/>
      <c r="O260" s="45"/>
      <c r="P260" s="47"/>
      <c r="Q260" s="45"/>
      <c r="R260" s="45"/>
      <c r="S260" s="45"/>
      <c r="T260" s="45"/>
      <c r="U260" s="45"/>
      <c r="V260" s="45"/>
      <c r="W260" s="45"/>
      <c r="X260" s="45"/>
      <c r="Y260" s="45"/>
      <c r="Z260" s="48" t="s">
        <v>642</v>
      </c>
      <c r="AA260" s="45" t="s">
        <v>642</v>
      </c>
      <c r="AB260" s="45">
        <v>0</v>
      </c>
      <c r="AD260"/>
    </row>
    <row r="261" spans="1:30" ht="12.75" customHeight="1">
      <c r="A261" s="45"/>
      <c r="B261" s="45"/>
      <c r="C261" s="45"/>
      <c r="D261" s="45"/>
      <c r="E261" s="45"/>
      <c r="F261" s="45"/>
      <c r="G261" s="45"/>
      <c r="H261" s="45"/>
      <c r="I261" s="45"/>
      <c r="J261" s="45"/>
      <c r="K261" s="45"/>
      <c r="L261" s="46"/>
      <c r="M261" s="45"/>
      <c r="N261" s="45"/>
      <c r="O261" s="45"/>
      <c r="P261" s="47"/>
      <c r="Q261" s="45"/>
      <c r="R261" s="45"/>
      <c r="S261" s="45"/>
      <c r="T261" s="45"/>
      <c r="U261" s="45"/>
      <c r="V261" s="45"/>
      <c r="W261" s="45"/>
      <c r="X261" s="45"/>
      <c r="Y261" s="45"/>
      <c r="Z261" s="48" t="s">
        <v>642</v>
      </c>
      <c r="AA261" s="45" t="s">
        <v>642</v>
      </c>
      <c r="AB261" s="45">
        <v>0</v>
      </c>
      <c r="AD261"/>
    </row>
    <row r="262" spans="1:30" ht="12.75" customHeight="1">
      <c r="A262" s="45"/>
      <c r="B262" s="45"/>
      <c r="C262" s="45"/>
      <c r="D262" s="45"/>
      <c r="E262" s="45"/>
      <c r="F262" s="45"/>
      <c r="G262" s="45"/>
      <c r="H262" s="45"/>
      <c r="I262" s="45"/>
      <c r="J262" s="45"/>
      <c r="K262" s="45"/>
      <c r="L262" s="46"/>
      <c r="M262" s="45"/>
      <c r="N262" s="45"/>
      <c r="O262" s="45"/>
      <c r="P262" s="47"/>
      <c r="Q262" s="45"/>
      <c r="R262" s="45"/>
      <c r="S262" s="45"/>
      <c r="T262" s="45"/>
      <c r="U262" s="45"/>
      <c r="V262" s="45"/>
      <c r="W262" s="45"/>
      <c r="X262" s="45"/>
      <c r="Y262" s="45"/>
      <c r="Z262" s="48" t="s">
        <v>642</v>
      </c>
      <c r="AA262" s="45" t="s">
        <v>642</v>
      </c>
      <c r="AB262" s="45">
        <v>0</v>
      </c>
      <c r="AD262"/>
    </row>
    <row r="263" spans="1:30" ht="12.75" customHeight="1">
      <c r="A263" s="45"/>
      <c r="B263" s="45"/>
      <c r="C263" s="45"/>
      <c r="D263" s="45"/>
      <c r="E263" s="45"/>
      <c r="F263" s="45"/>
      <c r="G263" s="45"/>
      <c r="H263" s="45"/>
      <c r="I263" s="45"/>
      <c r="J263" s="45"/>
      <c r="K263" s="45"/>
      <c r="L263" s="46"/>
      <c r="M263" s="45"/>
      <c r="N263" s="45"/>
      <c r="O263" s="45"/>
      <c r="P263" s="47"/>
      <c r="Q263" s="45"/>
      <c r="R263" s="45"/>
      <c r="S263" s="45"/>
      <c r="T263" s="45"/>
      <c r="U263" s="45"/>
      <c r="V263" s="45"/>
      <c r="W263" s="45"/>
      <c r="X263" s="45"/>
      <c r="Y263" s="45"/>
      <c r="Z263" s="48" t="s">
        <v>642</v>
      </c>
      <c r="AA263" s="45" t="s">
        <v>642</v>
      </c>
      <c r="AB263" s="45">
        <v>0</v>
      </c>
      <c r="AD263"/>
    </row>
    <row r="264" spans="1:30" ht="12.75" customHeight="1">
      <c r="A264" s="45"/>
      <c r="B264" s="45"/>
      <c r="C264" s="45"/>
      <c r="D264" s="45"/>
      <c r="E264" s="45"/>
      <c r="F264" s="45"/>
      <c r="G264" s="45"/>
      <c r="H264" s="45"/>
      <c r="I264" s="45"/>
      <c r="J264" s="45"/>
      <c r="K264" s="45"/>
      <c r="L264" s="46"/>
      <c r="M264" s="45"/>
      <c r="N264" s="45"/>
      <c r="O264" s="45"/>
      <c r="P264" s="47"/>
      <c r="Q264" s="45"/>
      <c r="R264" s="45"/>
      <c r="S264" s="45"/>
      <c r="T264" s="45"/>
      <c r="U264" s="45"/>
      <c r="V264" s="45"/>
      <c r="W264" s="45"/>
      <c r="X264" s="45"/>
      <c r="Y264" s="45"/>
      <c r="Z264" s="48" t="s">
        <v>642</v>
      </c>
      <c r="AA264" s="45" t="s">
        <v>642</v>
      </c>
      <c r="AB264" s="45">
        <v>0</v>
      </c>
      <c r="AD264"/>
    </row>
    <row r="265" spans="1:30" ht="12.75" customHeight="1">
      <c r="A265" s="45"/>
      <c r="B265" s="45"/>
      <c r="C265" s="45"/>
      <c r="D265" s="45"/>
      <c r="E265" s="45"/>
      <c r="F265" s="45"/>
      <c r="G265" s="45"/>
      <c r="H265" s="45"/>
      <c r="I265" s="45"/>
      <c r="J265" s="45"/>
      <c r="K265" s="45"/>
      <c r="L265" s="46"/>
      <c r="M265" s="45"/>
      <c r="N265" s="45"/>
      <c r="O265" s="45"/>
      <c r="P265" s="47"/>
      <c r="Q265" s="45"/>
      <c r="R265" s="45"/>
      <c r="S265" s="45"/>
      <c r="T265" s="45"/>
      <c r="U265" s="45"/>
      <c r="V265" s="45"/>
      <c r="W265" s="45"/>
      <c r="X265" s="45"/>
      <c r="Y265" s="45"/>
      <c r="Z265" s="48" t="s">
        <v>642</v>
      </c>
      <c r="AA265" s="45" t="s">
        <v>642</v>
      </c>
      <c r="AB265" s="45">
        <v>0</v>
      </c>
      <c r="AD265"/>
    </row>
    <row r="266" spans="1:30" ht="12.75" customHeight="1">
      <c r="A266" s="45"/>
      <c r="B266" s="45"/>
      <c r="C266" s="45"/>
      <c r="D266" s="45"/>
      <c r="E266" s="45"/>
      <c r="F266" s="45"/>
      <c r="G266" s="45"/>
      <c r="H266" s="45"/>
      <c r="I266" s="45"/>
      <c r="J266" s="45"/>
      <c r="K266" s="45"/>
      <c r="L266" s="46"/>
      <c r="M266" s="45"/>
      <c r="N266" s="45"/>
      <c r="O266" s="45"/>
      <c r="P266" s="47"/>
      <c r="Q266" s="45"/>
      <c r="R266" s="45"/>
      <c r="S266" s="45"/>
      <c r="T266" s="45"/>
      <c r="U266" s="45"/>
      <c r="V266" s="45"/>
      <c r="W266" s="45"/>
      <c r="X266" s="45"/>
      <c r="Y266" s="45"/>
      <c r="Z266" s="48" t="s">
        <v>642</v>
      </c>
      <c r="AA266" s="45" t="s">
        <v>642</v>
      </c>
      <c r="AB266" s="45">
        <v>0</v>
      </c>
      <c r="AD266"/>
    </row>
    <row r="267" spans="1:30" ht="12.75" customHeight="1">
      <c r="A267" s="45"/>
      <c r="B267" s="45"/>
      <c r="C267" s="45"/>
      <c r="D267" s="45"/>
      <c r="E267" s="45"/>
      <c r="F267" s="45"/>
      <c r="G267" s="45"/>
      <c r="H267" s="45"/>
      <c r="I267" s="45"/>
      <c r="J267" s="45"/>
      <c r="K267" s="45"/>
      <c r="L267" s="46"/>
      <c r="M267" s="45"/>
      <c r="N267" s="45"/>
      <c r="O267" s="45"/>
      <c r="P267" s="47"/>
      <c r="Q267" s="45"/>
      <c r="R267" s="45"/>
      <c r="S267" s="45"/>
      <c r="T267" s="45"/>
      <c r="U267" s="45"/>
      <c r="V267" s="45"/>
      <c r="W267" s="45"/>
      <c r="X267" s="45"/>
      <c r="Y267" s="45"/>
      <c r="Z267" s="48" t="s">
        <v>642</v>
      </c>
      <c r="AA267" s="45" t="s">
        <v>642</v>
      </c>
      <c r="AB267" s="45">
        <v>0</v>
      </c>
      <c r="AD267"/>
    </row>
    <row r="268" spans="1:30" ht="12.75" customHeight="1">
      <c r="A268" s="45"/>
      <c r="B268" s="45"/>
      <c r="C268" s="45"/>
      <c r="D268" s="45"/>
      <c r="E268" s="45"/>
      <c r="F268" s="45"/>
      <c r="G268" s="45"/>
      <c r="H268" s="45"/>
      <c r="I268" s="45"/>
      <c r="J268" s="45"/>
      <c r="K268" s="45"/>
      <c r="L268" s="46"/>
      <c r="M268" s="45"/>
      <c r="N268" s="45"/>
      <c r="O268" s="45"/>
      <c r="P268" s="47"/>
      <c r="Q268" s="45"/>
      <c r="R268" s="45"/>
      <c r="S268" s="45"/>
      <c r="T268" s="45"/>
      <c r="U268" s="45"/>
      <c r="V268" s="45"/>
      <c r="W268" s="45"/>
      <c r="X268" s="45"/>
      <c r="Y268" s="45"/>
      <c r="Z268" s="48" t="s">
        <v>642</v>
      </c>
      <c r="AA268" s="45" t="s">
        <v>642</v>
      </c>
      <c r="AB268" s="45">
        <v>0</v>
      </c>
      <c r="AD268"/>
    </row>
    <row r="269" spans="1:30" ht="12.75" customHeight="1">
      <c r="A269" s="45"/>
      <c r="B269" s="45"/>
      <c r="C269" s="45"/>
      <c r="D269" s="45"/>
      <c r="E269" s="45"/>
      <c r="F269" s="45"/>
      <c r="G269" s="45"/>
      <c r="H269" s="45"/>
      <c r="I269" s="45"/>
      <c r="J269" s="45"/>
      <c r="K269" s="45"/>
      <c r="L269" s="46"/>
      <c r="M269" s="45"/>
      <c r="N269" s="45"/>
      <c r="O269" s="45"/>
      <c r="P269" s="47"/>
      <c r="Q269" s="45"/>
      <c r="R269" s="45"/>
      <c r="S269" s="45"/>
      <c r="T269" s="45"/>
      <c r="U269" s="45"/>
      <c r="V269" s="45"/>
      <c r="W269" s="45"/>
      <c r="X269" s="45"/>
      <c r="Y269" s="45"/>
      <c r="Z269" s="48" t="s">
        <v>642</v>
      </c>
      <c r="AA269" s="45" t="s">
        <v>642</v>
      </c>
      <c r="AB269" s="45">
        <v>0</v>
      </c>
      <c r="AD269"/>
    </row>
    <row r="270" spans="1:30" ht="12.75" customHeight="1">
      <c r="A270" s="45"/>
      <c r="B270" s="45"/>
      <c r="C270" s="45"/>
      <c r="D270" s="45"/>
      <c r="E270" s="45"/>
      <c r="F270" s="45"/>
      <c r="G270" s="45"/>
      <c r="H270" s="45"/>
      <c r="I270" s="45"/>
      <c r="J270" s="45"/>
      <c r="K270" s="45"/>
      <c r="L270" s="46"/>
      <c r="M270" s="45"/>
      <c r="N270" s="45"/>
      <c r="O270" s="45"/>
      <c r="P270" s="47"/>
      <c r="Q270" s="45"/>
      <c r="R270" s="45"/>
      <c r="S270" s="45"/>
      <c r="T270" s="45"/>
      <c r="U270" s="45"/>
      <c r="V270" s="45"/>
      <c r="W270" s="45"/>
      <c r="X270" s="45"/>
      <c r="Y270" s="45"/>
      <c r="Z270" s="48" t="s">
        <v>642</v>
      </c>
      <c r="AA270" s="45" t="s">
        <v>642</v>
      </c>
      <c r="AB270" s="45">
        <v>0</v>
      </c>
      <c r="AD270"/>
    </row>
    <row r="271" spans="1:30" ht="12.75" customHeight="1">
      <c r="A271" s="45"/>
      <c r="B271" s="45"/>
      <c r="C271" s="45"/>
      <c r="D271" s="45"/>
      <c r="E271" s="45"/>
      <c r="F271" s="45"/>
      <c r="G271" s="45"/>
      <c r="H271" s="45"/>
      <c r="I271" s="45"/>
      <c r="J271" s="45"/>
      <c r="K271" s="45"/>
      <c r="L271" s="46"/>
      <c r="M271" s="45"/>
      <c r="N271" s="45"/>
      <c r="O271" s="45"/>
      <c r="P271" s="47"/>
      <c r="Q271" s="45"/>
      <c r="R271" s="45"/>
      <c r="S271" s="45"/>
      <c r="T271" s="45"/>
      <c r="U271" s="45"/>
      <c r="V271" s="45"/>
      <c r="W271" s="45"/>
      <c r="X271" s="45"/>
      <c r="Y271" s="45"/>
      <c r="Z271" s="48" t="s">
        <v>642</v>
      </c>
      <c r="AA271" s="45" t="s">
        <v>642</v>
      </c>
      <c r="AB271" s="45">
        <v>0</v>
      </c>
      <c r="AD271"/>
    </row>
    <row r="272" spans="1:30" ht="12.75" customHeight="1">
      <c r="A272" s="45"/>
      <c r="B272" s="45"/>
      <c r="C272" s="45"/>
      <c r="D272" s="45"/>
      <c r="E272" s="45"/>
      <c r="F272" s="45"/>
      <c r="G272" s="45"/>
      <c r="H272" s="45"/>
      <c r="I272" s="45"/>
      <c r="J272" s="45"/>
      <c r="K272" s="45"/>
      <c r="L272" s="46"/>
      <c r="M272" s="45"/>
      <c r="N272" s="45"/>
      <c r="O272" s="45"/>
      <c r="P272" s="47"/>
      <c r="Q272" s="45"/>
      <c r="R272" s="45"/>
      <c r="S272" s="45"/>
      <c r="T272" s="45"/>
      <c r="U272" s="45"/>
      <c r="V272" s="45"/>
      <c r="W272" s="45"/>
      <c r="X272" s="45"/>
      <c r="Y272" s="45"/>
      <c r="Z272" s="48" t="s">
        <v>642</v>
      </c>
      <c r="AA272" s="45" t="s">
        <v>642</v>
      </c>
      <c r="AB272" s="45">
        <v>0</v>
      </c>
      <c r="AD272"/>
    </row>
    <row r="273" spans="1:30" ht="12.75" customHeight="1">
      <c r="A273" s="45"/>
      <c r="B273" s="45"/>
      <c r="C273" s="45"/>
      <c r="D273" s="45"/>
      <c r="E273" s="45"/>
      <c r="F273" s="45"/>
      <c r="G273" s="45"/>
      <c r="H273" s="45"/>
      <c r="I273" s="45"/>
      <c r="J273" s="45"/>
      <c r="K273" s="45"/>
      <c r="L273" s="46"/>
      <c r="M273" s="45"/>
      <c r="N273" s="45"/>
      <c r="O273" s="45"/>
      <c r="P273" s="47"/>
      <c r="Q273" s="45"/>
      <c r="R273" s="45"/>
      <c r="S273" s="45"/>
      <c r="T273" s="45"/>
      <c r="U273" s="45"/>
      <c r="V273" s="45"/>
      <c r="W273" s="45"/>
      <c r="X273" s="45"/>
      <c r="Y273" s="45"/>
      <c r="Z273" s="48" t="s">
        <v>642</v>
      </c>
      <c r="AA273" s="45" t="s">
        <v>642</v>
      </c>
      <c r="AB273" s="45">
        <v>0</v>
      </c>
      <c r="AD273"/>
    </row>
    <row r="274" spans="1:30" ht="12.75" customHeight="1">
      <c r="A274" s="45"/>
      <c r="B274" s="45"/>
      <c r="C274" s="45"/>
      <c r="D274" s="45"/>
      <c r="E274" s="45"/>
      <c r="F274" s="45"/>
      <c r="G274" s="45"/>
      <c r="H274" s="45"/>
      <c r="I274" s="45"/>
      <c r="J274" s="45"/>
      <c r="K274" s="45"/>
      <c r="L274" s="46"/>
      <c r="M274" s="45"/>
      <c r="N274" s="45"/>
      <c r="O274" s="45"/>
      <c r="P274" s="47"/>
      <c r="Q274" s="45"/>
      <c r="R274" s="45"/>
      <c r="S274" s="45"/>
      <c r="T274" s="45"/>
      <c r="U274" s="45"/>
      <c r="V274" s="45"/>
      <c r="W274" s="45"/>
      <c r="X274" s="45"/>
      <c r="Y274" s="45"/>
      <c r="Z274" s="48" t="s">
        <v>642</v>
      </c>
      <c r="AA274" s="45" t="s">
        <v>642</v>
      </c>
      <c r="AB274" s="45">
        <v>0</v>
      </c>
      <c r="AD274"/>
    </row>
    <row r="275" spans="1:30" ht="12.75" customHeight="1">
      <c r="A275" s="45"/>
      <c r="B275" s="45"/>
      <c r="C275" s="45"/>
      <c r="D275" s="45"/>
      <c r="E275" s="45"/>
      <c r="F275" s="45"/>
      <c r="G275" s="45"/>
      <c r="H275" s="45"/>
      <c r="I275" s="45"/>
      <c r="J275" s="45"/>
      <c r="K275" s="45"/>
      <c r="L275" s="46"/>
      <c r="M275" s="45"/>
      <c r="N275" s="45"/>
      <c r="O275" s="45"/>
      <c r="P275" s="47"/>
      <c r="Q275" s="45"/>
      <c r="R275" s="45"/>
      <c r="S275" s="45"/>
      <c r="T275" s="45"/>
      <c r="U275" s="45"/>
      <c r="V275" s="45"/>
      <c r="W275" s="45"/>
      <c r="X275" s="45"/>
      <c r="Y275" s="45"/>
      <c r="Z275" s="48" t="s">
        <v>642</v>
      </c>
      <c r="AA275" s="45" t="s">
        <v>642</v>
      </c>
      <c r="AB275" s="45">
        <v>0</v>
      </c>
      <c r="AD275"/>
    </row>
    <row r="276" spans="1:30" ht="12.75" customHeight="1">
      <c r="A276" s="45"/>
      <c r="B276" s="45"/>
      <c r="C276" s="45"/>
      <c r="D276" s="45"/>
      <c r="E276" s="45"/>
      <c r="F276" s="45"/>
      <c r="G276" s="45"/>
      <c r="H276" s="45"/>
      <c r="I276" s="45"/>
      <c r="J276" s="45"/>
      <c r="K276" s="45"/>
      <c r="L276" s="46"/>
      <c r="M276" s="45"/>
      <c r="N276" s="45"/>
      <c r="O276" s="45"/>
      <c r="P276" s="47"/>
      <c r="Q276" s="45"/>
      <c r="R276" s="45"/>
      <c r="S276" s="45"/>
      <c r="T276" s="45"/>
      <c r="U276" s="45"/>
      <c r="V276" s="45"/>
      <c r="W276" s="45"/>
      <c r="X276" s="45"/>
      <c r="Y276" s="45"/>
      <c r="Z276" s="48" t="s">
        <v>642</v>
      </c>
      <c r="AA276" s="45" t="s">
        <v>642</v>
      </c>
      <c r="AB276" s="45">
        <v>0</v>
      </c>
      <c r="AD276"/>
    </row>
    <row r="277" spans="1:30" ht="12.75" customHeight="1">
      <c r="A277" s="45"/>
      <c r="B277" s="45"/>
      <c r="C277" s="45"/>
      <c r="D277" s="45"/>
      <c r="E277" s="45"/>
      <c r="F277" s="45"/>
      <c r="G277" s="45"/>
      <c r="H277" s="45"/>
      <c r="I277" s="45"/>
      <c r="J277" s="45"/>
      <c r="K277" s="45"/>
      <c r="L277" s="46"/>
      <c r="M277" s="45"/>
      <c r="N277" s="45"/>
      <c r="O277" s="45"/>
      <c r="P277" s="47"/>
      <c r="Q277" s="45"/>
      <c r="R277" s="45"/>
      <c r="S277" s="45"/>
      <c r="T277" s="45"/>
      <c r="U277" s="45"/>
      <c r="V277" s="45"/>
      <c r="W277" s="45"/>
      <c r="X277" s="45"/>
      <c r="Y277" s="45"/>
      <c r="Z277" s="48" t="s">
        <v>642</v>
      </c>
      <c r="AA277" s="45" t="s">
        <v>642</v>
      </c>
      <c r="AB277" s="45">
        <v>0</v>
      </c>
      <c r="AD277"/>
    </row>
    <row r="278" spans="1:30" ht="12.75" customHeight="1">
      <c r="A278" s="45"/>
      <c r="B278" s="45"/>
      <c r="C278" s="45"/>
      <c r="D278" s="45"/>
      <c r="E278" s="45"/>
      <c r="F278" s="45"/>
      <c r="G278" s="45"/>
      <c r="H278" s="45"/>
      <c r="I278" s="45"/>
      <c r="J278" s="45"/>
      <c r="K278" s="45"/>
      <c r="L278" s="46"/>
      <c r="M278" s="45"/>
      <c r="N278" s="45"/>
      <c r="O278" s="45"/>
      <c r="P278" s="47"/>
      <c r="Q278" s="45"/>
      <c r="R278" s="45"/>
      <c r="S278" s="45"/>
      <c r="T278" s="45"/>
      <c r="U278" s="45"/>
      <c r="V278" s="45"/>
      <c r="W278" s="45"/>
      <c r="X278" s="45"/>
      <c r="Y278" s="45"/>
      <c r="Z278" s="48" t="s">
        <v>642</v>
      </c>
      <c r="AA278" s="45" t="s">
        <v>642</v>
      </c>
      <c r="AB278" s="45">
        <v>0</v>
      </c>
      <c r="AD278"/>
    </row>
    <row r="279" spans="1:30" ht="12.75" customHeight="1">
      <c r="A279" s="45"/>
      <c r="B279" s="45"/>
      <c r="C279" s="45"/>
      <c r="D279" s="45"/>
      <c r="E279" s="45"/>
      <c r="F279" s="45"/>
      <c r="G279" s="45"/>
      <c r="H279" s="45"/>
      <c r="I279" s="45"/>
      <c r="J279" s="45"/>
      <c r="K279" s="45"/>
      <c r="L279" s="46"/>
      <c r="M279" s="45"/>
      <c r="N279" s="45"/>
      <c r="O279" s="45"/>
      <c r="P279" s="47"/>
      <c r="Q279" s="45"/>
      <c r="R279" s="45"/>
      <c r="S279" s="45"/>
      <c r="T279" s="45"/>
      <c r="U279" s="45"/>
      <c r="V279" s="45"/>
      <c r="W279" s="45"/>
      <c r="X279" s="45"/>
      <c r="Y279" s="45"/>
      <c r="Z279" s="48" t="s">
        <v>642</v>
      </c>
      <c r="AA279" s="45" t="s">
        <v>642</v>
      </c>
      <c r="AB279" s="45">
        <v>0</v>
      </c>
      <c r="AD279"/>
    </row>
    <row r="280" spans="1:30" ht="12.75" customHeight="1">
      <c r="A280" s="45"/>
      <c r="B280" s="45"/>
      <c r="C280" s="45"/>
      <c r="D280" s="45"/>
      <c r="E280" s="45"/>
      <c r="F280" s="45"/>
      <c r="G280" s="45"/>
      <c r="H280" s="45"/>
      <c r="I280" s="45"/>
      <c r="J280" s="45"/>
      <c r="K280" s="45"/>
      <c r="L280" s="46"/>
      <c r="M280" s="45"/>
      <c r="N280" s="45"/>
      <c r="O280" s="45"/>
      <c r="P280" s="47"/>
      <c r="Q280" s="45"/>
      <c r="R280" s="45"/>
      <c r="S280" s="45"/>
      <c r="T280" s="45"/>
      <c r="U280" s="45"/>
      <c r="V280" s="45"/>
      <c r="W280" s="45"/>
      <c r="X280" s="45"/>
      <c r="Y280" s="45"/>
      <c r="Z280" s="48" t="s">
        <v>642</v>
      </c>
      <c r="AA280" s="45" t="s">
        <v>642</v>
      </c>
      <c r="AB280" s="45">
        <v>0</v>
      </c>
      <c r="AD280"/>
    </row>
    <row r="281" spans="1:30" ht="12.75" customHeight="1">
      <c r="A281" s="45"/>
      <c r="B281" s="45"/>
      <c r="C281" s="45"/>
      <c r="D281" s="45"/>
      <c r="E281" s="45"/>
      <c r="F281" s="45"/>
      <c r="G281" s="45"/>
      <c r="H281" s="45"/>
      <c r="I281" s="45"/>
      <c r="J281" s="45"/>
      <c r="K281" s="45"/>
      <c r="L281" s="46"/>
      <c r="M281" s="45"/>
      <c r="N281" s="45"/>
      <c r="O281" s="45"/>
      <c r="P281" s="47"/>
      <c r="Q281" s="45"/>
      <c r="R281" s="45"/>
      <c r="S281" s="45"/>
      <c r="T281" s="45"/>
      <c r="U281" s="45"/>
      <c r="V281" s="45"/>
      <c r="W281" s="45"/>
      <c r="X281" s="45"/>
      <c r="Y281" s="45"/>
      <c r="Z281" s="48" t="s">
        <v>642</v>
      </c>
      <c r="AA281" s="45" t="s">
        <v>642</v>
      </c>
      <c r="AB281" s="45">
        <v>0</v>
      </c>
      <c r="AD281"/>
    </row>
    <row r="282" spans="1:30" ht="12.75" customHeight="1">
      <c r="A282" s="45"/>
      <c r="B282" s="45"/>
      <c r="C282" s="45"/>
      <c r="D282" s="45"/>
      <c r="E282" s="45"/>
      <c r="F282" s="45"/>
      <c r="G282" s="45"/>
      <c r="H282" s="45"/>
      <c r="I282" s="45"/>
      <c r="J282" s="45"/>
      <c r="K282" s="45"/>
      <c r="L282" s="46"/>
      <c r="M282" s="45"/>
      <c r="N282" s="45"/>
      <c r="O282" s="45"/>
      <c r="P282" s="47"/>
      <c r="Q282" s="45"/>
      <c r="R282" s="45"/>
      <c r="S282" s="45"/>
      <c r="T282" s="45"/>
      <c r="U282" s="45"/>
      <c r="V282" s="45"/>
      <c r="W282" s="45"/>
      <c r="X282" s="45"/>
      <c r="Y282" s="45"/>
      <c r="Z282" s="48" t="s">
        <v>642</v>
      </c>
      <c r="AA282" s="45" t="s">
        <v>642</v>
      </c>
      <c r="AB282" s="45">
        <v>0</v>
      </c>
      <c r="AD282"/>
    </row>
    <row r="283" spans="1:30" ht="12.75" customHeight="1">
      <c r="A283" s="45"/>
      <c r="B283" s="45"/>
      <c r="C283" s="45"/>
      <c r="D283" s="45"/>
      <c r="E283" s="45"/>
      <c r="F283" s="45"/>
      <c r="G283" s="45"/>
      <c r="H283" s="45"/>
      <c r="I283" s="45"/>
      <c r="J283" s="45"/>
      <c r="K283" s="45"/>
      <c r="L283" s="46"/>
      <c r="M283" s="45"/>
      <c r="N283" s="45"/>
      <c r="O283" s="45"/>
      <c r="P283" s="47"/>
      <c r="Q283" s="45"/>
      <c r="R283" s="45"/>
      <c r="S283" s="45"/>
      <c r="T283" s="45"/>
      <c r="U283" s="45"/>
      <c r="V283" s="45"/>
      <c r="W283" s="45"/>
      <c r="X283" s="45"/>
      <c r="Y283" s="45"/>
      <c r="Z283" s="48" t="s">
        <v>642</v>
      </c>
      <c r="AA283" s="45" t="s">
        <v>642</v>
      </c>
      <c r="AB283" s="45">
        <v>0</v>
      </c>
      <c r="AD283"/>
    </row>
    <row r="284" spans="1:30" ht="12.75" customHeight="1">
      <c r="A284" s="45"/>
      <c r="B284" s="45"/>
      <c r="C284" s="45"/>
      <c r="D284" s="45"/>
      <c r="E284" s="45"/>
      <c r="F284" s="45"/>
      <c r="G284" s="45"/>
      <c r="H284" s="45"/>
      <c r="I284" s="45"/>
      <c r="J284" s="45"/>
      <c r="K284" s="45"/>
      <c r="L284" s="46"/>
      <c r="M284" s="45"/>
      <c r="N284" s="45"/>
      <c r="O284" s="45"/>
      <c r="P284" s="47"/>
      <c r="Q284" s="45"/>
      <c r="R284" s="45"/>
      <c r="S284" s="45"/>
      <c r="T284" s="45"/>
      <c r="U284" s="45"/>
      <c r="V284" s="45"/>
      <c r="W284" s="45"/>
      <c r="X284" s="45"/>
      <c r="Y284" s="45"/>
      <c r="Z284" s="48" t="s">
        <v>642</v>
      </c>
      <c r="AA284" s="45" t="s">
        <v>642</v>
      </c>
      <c r="AB284" s="45">
        <v>0</v>
      </c>
      <c r="AD284"/>
    </row>
    <row r="285" spans="1:30" ht="12.75" customHeight="1">
      <c r="A285" s="45"/>
      <c r="B285" s="45"/>
      <c r="C285" s="45"/>
      <c r="D285" s="45"/>
      <c r="E285" s="45"/>
      <c r="F285" s="45"/>
      <c r="G285" s="45"/>
      <c r="H285" s="45"/>
      <c r="I285" s="45"/>
      <c r="J285" s="45"/>
      <c r="K285" s="45"/>
      <c r="L285" s="46"/>
      <c r="M285" s="45"/>
      <c r="N285" s="45"/>
      <c r="O285" s="45"/>
      <c r="P285" s="47"/>
      <c r="Q285" s="45"/>
      <c r="R285" s="45"/>
      <c r="S285" s="45"/>
      <c r="T285" s="45"/>
      <c r="U285" s="45"/>
      <c r="V285" s="45"/>
      <c r="W285" s="45"/>
      <c r="X285" s="45"/>
      <c r="Y285" s="45"/>
      <c r="Z285" s="48" t="s">
        <v>642</v>
      </c>
      <c r="AA285" s="45" t="s">
        <v>642</v>
      </c>
      <c r="AB285" s="45">
        <v>0</v>
      </c>
      <c r="AD285"/>
    </row>
    <row r="286" spans="1:30" ht="12.75" customHeight="1">
      <c r="A286" s="45"/>
      <c r="B286" s="45"/>
      <c r="C286" s="45"/>
      <c r="D286" s="45"/>
      <c r="E286" s="45"/>
      <c r="F286" s="45"/>
      <c r="G286" s="45"/>
      <c r="H286" s="45"/>
      <c r="I286" s="45"/>
      <c r="J286" s="45"/>
      <c r="K286" s="45"/>
      <c r="L286" s="46"/>
      <c r="M286" s="45"/>
      <c r="N286" s="45"/>
      <c r="O286" s="45"/>
      <c r="P286" s="47"/>
      <c r="Q286" s="45"/>
      <c r="R286" s="45"/>
      <c r="S286" s="45"/>
      <c r="T286" s="45"/>
      <c r="U286" s="45"/>
      <c r="V286" s="45"/>
      <c r="W286" s="45"/>
      <c r="X286" s="45"/>
      <c r="Y286" s="45"/>
      <c r="Z286" s="48" t="s">
        <v>642</v>
      </c>
      <c r="AA286" s="45" t="s">
        <v>642</v>
      </c>
      <c r="AB286" s="45">
        <v>0</v>
      </c>
      <c r="AD286"/>
    </row>
    <row r="287" spans="1:30" ht="12.75" customHeight="1">
      <c r="A287" s="45"/>
      <c r="B287" s="45"/>
      <c r="C287" s="45"/>
      <c r="D287" s="45"/>
      <c r="E287" s="45"/>
      <c r="F287" s="45"/>
      <c r="G287" s="45"/>
      <c r="H287" s="45"/>
      <c r="I287" s="45"/>
      <c r="J287" s="45"/>
      <c r="K287" s="45"/>
      <c r="L287" s="46"/>
      <c r="M287" s="45"/>
      <c r="N287" s="45"/>
      <c r="O287" s="45"/>
      <c r="P287" s="47"/>
      <c r="Q287" s="45"/>
      <c r="R287" s="45"/>
      <c r="S287" s="45"/>
      <c r="T287" s="45"/>
      <c r="U287" s="45"/>
      <c r="V287" s="45"/>
      <c r="W287" s="45"/>
      <c r="X287" s="45"/>
      <c r="Y287" s="45"/>
      <c r="Z287" s="48" t="s">
        <v>642</v>
      </c>
      <c r="AA287" s="45" t="s">
        <v>642</v>
      </c>
      <c r="AB287" s="45">
        <v>0</v>
      </c>
      <c r="AD287"/>
    </row>
    <row r="288" spans="1:30" ht="12.75" customHeight="1">
      <c r="A288" s="45"/>
      <c r="B288" s="45"/>
      <c r="C288" s="45"/>
      <c r="D288" s="45"/>
      <c r="E288" s="45"/>
      <c r="F288" s="45"/>
      <c r="G288" s="45"/>
      <c r="H288" s="45"/>
      <c r="I288" s="45"/>
      <c r="J288" s="45"/>
      <c r="K288" s="45"/>
      <c r="L288" s="46"/>
      <c r="M288" s="45"/>
      <c r="N288" s="45"/>
      <c r="O288" s="45"/>
      <c r="P288" s="47"/>
      <c r="Q288" s="45"/>
      <c r="R288" s="45"/>
      <c r="S288" s="45"/>
      <c r="T288" s="45"/>
      <c r="U288" s="45"/>
      <c r="V288" s="45"/>
      <c r="W288" s="45"/>
      <c r="X288" s="45"/>
      <c r="Y288" s="45"/>
      <c r="Z288" s="48" t="s">
        <v>642</v>
      </c>
      <c r="AA288" s="45" t="s">
        <v>642</v>
      </c>
      <c r="AB288" s="45">
        <v>0</v>
      </c>
      <c r="AD288"/>
    </row>
    <row r="289" spans="1:30" ht="12.75" customHeight="1">
      <c r="A289" s="45"/>
      <c r="B289" s="45"/>
      <c r="C289" s="45"/>
      <c r="D289" s="45"/>
      <c r="E289" s="45"/>
      <c r="F289" s="45"/>
      <c r="G289" s="45"/>
      <c r="H289" s="45"/>
      <c r="I289" s="45"/>
      <c r="J289" s="45"/>
      <c r="K289" s="45"/>
      <c r="L289" s="46"/>
      <c r="M289" s="45"/>
      <c r="N289" s="45"/>
      <c r="O289" s="45"/>
      <c r="P289" s="47"/>
      <c r="Q289" s="45"/>
      <c r="R289" s="45"/>
      <c r="S289" s="45"/>
      <c r="T289" s="45"/>
      <c r="U289" s="45"/>
      <c r="V289" s="45"/>
      <c r="W289" s="45"/>
      <c r="X289" s="45"/>
      <c r="Y289" s="45"/>
      <c r="Z289" s="48" t="s">
        <v>642</v>
      </c>
      <c r="AA289" s="45" t="s">
        <v>642</v>
      </c>
      <c r="AB289" s="45">
        <v>0</v>
      </c>
      <c r="AD289"/>
    </row>
    <row r="290" spans="1:30" ht="12.75" customHeight="1">
      <c r="A290" s="45"/>
      <c r="B290" s="45"/>
      <c r="C290" s="45"/>
      <c r="D290" s="45"/>
      <c r="E290" s="45"/>
      <c r="F290" s="45"/>
      <c r="G290" s="45"/>
      <c r="H290" s="45"/>
      <c r="I290" s="45"/>
      <c r="J290" s="45"/>
      <c r="K290" s="45"/>
      <c r="L290" s="46"/>
      <c r="M290" s="45"/>
      <c r="N290" s="45"/>
      <c r="O290" s="45"/>
      <c r="P290" s="47"/>
      <c r="Q290" s="45"/>
      <c r="R290" s="45"/>
      <c r="S290" s="45"/>
      <c r="T290" s="45"/>
      <c r="U290" s="45"/>
      <c r="V290" s="45"/>
      <c r="W290" s="45"/>
      <c r="X290" s="45"/>
      <c r="Y290" s="45"/>
      <c r="Z290" s="48" t="s">
        <v>642</v>
      </c>
      <c r="AA290" s="45" t="s">
        <v>642</v>
      </c>
      <c r="AB290" s="45">
        <v>0</v>
      </c>
      <c r="AD290"/>
    </row>
    <row r="291" spans="1:30" ht="12.75" customHeight="1">
      <c r="A291" s="45"/>
      <c r="B291" s="45"/>
      <c r="C291" s="45"/>
      <c r="D291" s="45"/>
      <c r="E291" s="45"/>
      <c r="F291" s="45"/>
      <c r="G291" s="45"/>
      <c r="H291" s="45"/>
      <c r="I291" s="45"/>
      <c r="J291" s="45"/>
      <c r="K291" s="45"/>
      <c r="L291" s="46"/>
      <c r="M291" s="45"/>
      <c r="N291" s="45"/>
      <c r="O291" s="45"/>
      <c r="P291" s="47"/>
      <c r="Q291" s="45"/>
      <c r="R291" s="45"/>
      <c r="S291" s="45"/>
      <c r="T291" s="45"/>
      <c r="U291" s="45"/>
      <c r="V291" s="45"/>
      <c r="W291" s="45"/>
      <c r="X291" s="45"/>
      <c r="Y291" s="45"/>
      <c r="Z291" s="48" t="s">
        <v>642</v>
      </c>
      <c r="AA291" s="45" t="s">
        <v>642</v>
      </c>
      <c r="AB291" s="45">
        <v>0</v>
      </c>
      <c r="AD291"/>
    </row>
    <row r="292" spans="1:30" ht="12.75" customHeight="1">
      <c r="A292" s="45"/>
      <c r="B292" s="45"/>
      <c r="C292" s="45"/>
      <c r="D292" s="45"/>
      <c r="E292" s="45"/>
      <c r="F292" s="45"/>
      <c r="G292" s="45"/>
      <c r="H292" s="45"/>
      <c r="I292" s="45"/>
      <c r="J292" s="45"/>
      <c r="K292" s="45"/>
      <c r="L292" s="46"/>
      <c r="M292" s="45"/>
      <c r="N292" s="45"/>
      <c r="O292" s="45"/>
      <c r="P292" s="47"/>
      <c r="Q292" s="45"/>
      <c r="R292" s="45"/>
      <c r="S292" s="45"/>
      <c r="T292" s="45"/>
      <c r="U292" s="45"/>
      <c r="V292" s="45"/>
      <c r="W292" s="45"/>
      <c r="X292" s="45"/>
      <c r="Y292" s="45"/>
      <c r="Z292" s="48" t="s">
        <v>642</v>
      </c>
      <c r="AA292" s="45" t="s">
        <v>642</v>
      </c>
      <c r="AB292" s="45">
        <v>0</v>
      </c>
      <c r="AD292"/>
    </row>
    <row r="293" spans="1:30" ht="12.75" customHeight="1">
      <c r="A293" s="45"/>
      <c r="B293" s="45"/>
      <c r="C293" s="45"/>
      <c r="D293" s="45"/>
      <c r="E293" s="45"/>
      <c r="F293" s="45"/>
      <c r="G293" s="45"/>
      <c r="H293" s="45"/>
      <c r="I293" s="45"/>
      <c r="J293" s="45"/>
      <c r="K293" s="45"/>
      <c r="L293" s="46"/>
      <c r="M293" s="45"/>
      <c r="N293" s="45"/>
      <c r="O293" s="45"/>
      <c r="P293" s="47"/>
      <c r="Q293" s="45"/>
      <c r="R293" s="45"/>
      <c r="S293" s="45"/>
      <c r="T293" s="45"/>
      <c r="U293" s="45"/>
      <c r="V293" s="45"/>
      <c r="W293" s="45"/>
      <c r="X293" s="45"/>
      <c r="Y293" s="45"/>
      <c r="Z293" s="48" t="s">
        <v>642</v>
      </c>
      <c r="AA293" s="45" t="s">
        <v>642</v>
      </c>
      <c r="AB293" s="45">
        <v>0</v>
      </c>
      <c r="AD293"/>
    </row>
    <row r="294" spans="1:30" ht="12.75" customHeight="1">
      <c r="A294" s="45"/>
      <c r="B294" s="45"/>
      <c r="C294" s="45"/>
      <c r="D294" s="45"/>
      <c r="E294" s="45"/>
      <c r="F294" s="45"/>
      <c r="G294" s="45"/>
      <c r="H294" s="45"/>
      <c r="I294" s="45"/>
      <c r="J294" s="45"/>
      <c r="K294" s="45"/>
      <c r="L294" s="46"/>
      <c r="M294" s="45"/>
      <c r="N294" s="45"/>
      <c r="O294" s="45"/>
      <c r="P294" s="47"/>
      <c r="Q294" s="45"/>
      <c r="R294" s="45"/>
      <c r="S294" s="45"/>
      <c r="T294" s="45"/>
      <c r="U294" s="45"/>
      <c r="V294" s="45"/>
      <c r="W294" s="45"/>
      <c r="X294" s="45"/>
      <c r="Y294" s="45"/>
      <c r="Z294" s="48" t="s">
        <v>642</v>
      </c>
      <c r="AA294" s="45" t="s">
        <v>642</v>
      </c>
      <c r="AB294" s="45">
        <v>0</v>
      </c>
      <c r="AD294"/>
    </row>
    <row r="295" spans="1:30" ht="12.75" customHeight="1">
      <c r="A295" s="45"/>
      <c r="B295" s="45"/>
      <c r="C295" s="45"/>
      <c r="D295" s="45"/>
      <c r="E295" s="45"/>
      <c r="F295" s="45"/>
      <c r="G295" s="45"/>
      <c r="H295" s="45"/>
      <c r="I295" s="45"/>
      <c r="J295" s="45"/>
      <c r="K295" s="45"/>
      <c r="L295" s="46"/>
      <c r="M295" s="45"/>
      <c r="N295" s="45"/>
      <c r="O295" s="45"/>
      <c r="P295" s="47"/>
      <c r="Q295" s="45"/>
      <c r="R295" s="45"/>
      <c r="S295" s="45"/>
      <c r="T295" s="45"/>
      <c r="U295" s="45"/>
      <c r="V295" s="45"/>
      <c r="W295" s="45"/>
      <c r="X295" s="45"/>
      <c r="Y295" s="45"/>
      <c r="Z295" s="48" t="s">
        <v>642</v>
      </c>
      <c r="AA295" s="45" t="s">
        <v>642</v>
      </c>
      <c r="AB295" s="45">
        <v>0</v>
      </c>
      <c r="AD295"/>
    </row>
    <row r="296" spans="1:30" ht="12.75" customHeight="1">
      <c r="A296" s="45"/>
      <c r="B296" s="45"/>
      <c r="C296" s="45"/>
      <c r="D296" s="45"/>
      <c r="E296" s="45"/>
      <c r="F296" s="45"/>
      <c r="G296" s="45"/>
      <c r="H296" s="45"/>
      <c r="I296" s="45"/>
      <c r="J296" s="45"/>
      <c r="K296" s="45"/>
      <c r="L296" s="46"/>
      <c r="M296" s="45"/>
      <c r="N296" s="45"/>
      <c r="O296" s="45"/>
      <c r="P296" s="47"/>
      <c r="Q296" s="45"/>
      <c r="R296" s="45"/>
      <c r="S296" s="45"/>
      <c r="T296" s="45"/>
      <c r="U296" s="45"/>
      <c r="V296" s="45"/>
      <c r="W296" s="45"/>
      <c r="X296" s="45"/>
      <c r="Y296" s="45"/>
      <c r="Z296" s="48" t="s">
        <v>642</v>
      </c>
      <c r="AA296" s="45" t="s">
        <v>642</v>
      </c>
      <c r="AB296" s="45">
        <v>0</v>
      </c>
      <c r="AD296"/>
    </row>
    <row r="297" spans="1:30" ht="12.75" customHeight="1">
      <c r="A297" s="45"/>
      <c r="B297" s="45"/>
      <c r="C297" s="45"/>
      <c r="D297" s="45"/>
      <c r="E297" s="45"/>
      <c r="F297" s="45"/>
      <c r="G297" s="45"/>
      <c r="H297" s="45"/>
      <c r="I297" s="45"/>
      <c r="J297" s="45"/>
      <c r="K297" s="45"/>
      <c r="L297" s="46"/>
      <c r="M297" s="45"/>
      <c r="N297" s="45"/>
      <c r="O297" s="45"/>
      <c r="P297" s="47"/>
      <c r="Q297" s="45"/>
      <c r="R297" s="45"/>
      <c r="S297" s="45"/>
      <c r="T297" s="45"/>
      <c r="U297" s="45"/>
      <c r="V297" s="45"/>
      <c r="W297" s="45"/>
      <c r="X297" s="45"/>
      <c r="Y297" s="45"/>
      <c r="Z297" s="48" t="s">
        <v>642</v>
      </c>
      <c r="AA297" s="45" t="s">
        <v>642</v>
      </c>
      <c r="AB297" s="45">
        <v>0</v>
      </c>
      <c r="AD297"/>
    </row>
    <row r="298" spans="1:30" ht="12.75" customHeight="1">
      <c r="A298" s="45"/>
      <c r="B298" s="45"/>
      <c r="C298" s="45"/>
      <c r="D298" s="45"/>
      <c r="E298" s="45"/>
      <c r="F298" s="45"/>
      <c r="G298" s="45"/>
      <c r="H298" s="45"/>
      <c r="I298" s="45"/>
      <c r="J298" s="45"/>
      <c r="K298" s="45"/>
      <c r="L298" s="46"/>
      <c r="M298" s="45"/>
      <c r="N298" s="45"/>
      <c r="O298" s="45"/>
      <c r="P298" s="47"/>
      <c r="Q298" s="45"/>
      <c r="R298" s="45"/>
      <c r="S298" s="45"/>
      <c r="T298" s="45"/>
      <c r="U298" s="45"/>
      <c r="V298" s="45"/>
      <c r="W298" s="45"/>
      <c r="X298" s="45"/>
      <c r="Y298" s="45"/>
      <c r="Z298" s="48" t="s">
        <v>642</v>
      </c>
      <c r="AA298" s="45" t="s">
        <v>642</v>
      </c>
      <c r="AB298" s="45">
        <v>0</v>
      </c>
      <c r="AD298"/>
    </row>
    <row r="299" spans="1:30" ht="12.75" customHeight="1">
      <c r="A299" s="45"/>
      <c r="B299" s="45"/>
      <c r="C299" s="45"/>
      <c r="D299" s="45"/>
      <c r="E299" s="45"/>
      <c r="F299" s="45"/>
      <c r="G299" s="45"/>
      <c r="H299" s="45"/>
      <c r="I299" s="45"/>
      <c r="J299" s="45"/>
      <c r="K299" s="45"/>
      <c r="L299" s="46"/>
      <c r="M299" s="45"/>
      <c r="N299" s="45"/>
      <c r="O299" s="45"/>
      <c r="P299" s="47"/>
      <c r="Q299" s="45"/>
      <c r="R299" s="45"/>
      <c r="S299" s="45"/>
      <c r="T299" s="45"/>
      <c r="U299" s="45"/>
      <c r="V299" s="45"/>
      <c r="W299" s="45"/>
      <c r="X299" s="45"/>
      <c r="Y299" s="45"/>
      <c r="Z299" s="48" t="s">
        <v>642</v>
      </c>
      <c r="AA299" s="45" t="s">
        <v>642</v>
      </c>
      <c r="AB299" s="45">
        <v>0</v>
      </c>
      <c r="AD299"/>
    </row>
    <row r="300" spans="1:30" ht="12.75" customHeight="1">
      <c r="A300" s="45"/>
      <c r="B300" s="45"/>
      <c r="C300" s="45"/>
      <c r="D300" s="45"/>
      <c r="E300" s="45"/>
      <c r="F300" s="45"/>
      <c r="G300" s="45"/>
      <c r="H300" s="45"/>
      <c r="I300" s="45"/>
      <c r="J300" s="45"/>
      <c r="K300" s="45"/>
      <c r="L300" s="46"/>
      <c r="M300" s="45"/>
      <c r="N300" s="45"/>
      <c r="O300" s="45"/>
      <c r="P300" s="47"/>
      <c r="Q300" s="45"/>
      <c r="R300" s="45"/>
      <c r="S300" s="45"/>
      <c r="T300" s="45"/>
      <c r="U300" s="45"/>
      <c r="V300" s="45"/>
      <c r="W300" s="45"/>
      <c r="X300" s="45"/>
      <c r="Y300" s="45"/>
      <c r="Z300" s="48" t="s">
        <v>642</v>
      </c>
      <c r="AA300" s="45" t="s">
        <v>642</v>
      </c>
      <c r="AB300" s="45">
        <v>0</v>
      </c>
      <c r="AD300"/>
    </row>
    <row r="301" spans="1:30" ht="12.75" customHeight="1">
      <c r="A301" s="45"/>
      <c r="B301" s="45"/>
      <c r="C301" s="45"/>
      <c r="D301" s="45"/>
      <c r="E301" s="45"/>
      <c r="F301" s="45"/>
      <c r="G301" s="45"/>
      <c r="H301" s="45"/>
      <c r="I301" s="45"/>
      <c r="J301" s="45"/>
      <c r="K301" s="45"/>
      <c r="L301" s="46"/>
      <c r="M301" s="45"/>
      <c r="N301" s="45"/>
      <c r="O301" s="45"/>
      <c r="P301" s="47"/>
      <c r="Q301" s="45"/>
      <c r="R301" s="45"/>
      <c r="S301" s="45"/>
      <c r="T301" s="45"/>
      <c r="U301" s="45"/>
      <c r="V301" s="45"/>
      <c r="W301" s="45"/>
      <c r="X301" s="45"/>
      <c r="Y301" s="45"/>
      <c r="Z301" s="48" t="s">
        <v>642</v>
      </c>
      <c r="AA301" s="45" t="s">
        <v>642</v>
      </c>
      <c r="AB301" s="45">
        <v>0</v>
      </c>
      <c r="AD301"/>
    </row>
    <row r="302" spans="1:30" ht="12.75" customHeight="1">
      <c r="A302" s="45"/>
      <c r="B302" s="45"/>
      <c r="C302" s="45"/>
      <c r="D302" s="45"/>
      <c r="E302" s="45"/>
      <c r="F302" s="45"/>
      <c r="G302" s="45"/>
      <c r="H302" s="45"/>
      <c r="I302" s="45"/>
      <c r="J302" s="45"/>
      <c r="K302" s="45"/>
      <c r="L302" s="46"/>
      <c r="M302" s="45"/>
      <c r="N302" s="45"/>
      <c r="O302" s="45"/>
      <c r="P302" s="47"/>
      <c r="Q302" s="45"/>
      <c r="R302" s="45"/>
      <c r="S302" s="45"/>
      <c r="T302" s="45"/>
      <c r="U302" s="45"/>
      <c r="V302" s="45"/>
      <c r="W302" s="45"/>
      <c r="X302" s="45"/>
      <c r="Y302" s="45"/>
      <c r="Z302" s="48" t="s">
        <v>642</v>
      </c>
      <c r="AA302" s="45" t="s">
        <v>642</v>
      </c>
      <c r="AB302" s="45">
        <v>0</v>
      </c>
      <c r="AD302"/>
    </row>
    <row r="303" spans="1:30" ht="12.75" customHeight="1">
      <c r="A303" s="45"/>
      <c r="B303" s="45"/>
      <c r="C303" s="45"/>
      <c r="D303" s="45"/>
      <c r="E303" s="45"/>
      <c r="F303" s="45"/>
      <c r="G303" s="45"/>
      <c r="H303" s="45"/>
      <c r="I303" s="45"/>
      <c r="J303" s="45"/>
      <c r="K303" s="45"/>
      <c r="L303" s="46"/>
      <c r="M303" s="45"/>
      <c r="N303" s="45"/>
      <c r="O303" s="45"/>
      <c r="P303" s="47"/>
      <c r="Q303" s="45"/>
      <c r="R303" s="45"/>
      <c r="S303" s="45"/>
      <c r="T303" s="45"/>
      <c r="U303" s="45"/>
      <c r="V303" s="45"/>
      <c r="W303" s="45"/>
      <c r="X303" s="45"/>
      <c r="Y303" s="45"/>
      <c r="Z303" s="48" t="s">
        <v>642</v>
      </c>
      <c r="AA303" s="45" t="s">
        <v>642</v>
      </c>
      <c r="AB303" s="45">
        <v>0</v>
      </c>
      <c r="AD303"/>
    </row>
    <row r="304" spans="1:30" ht="12.75" customHeight="1">
      <c r="A304" s="45"/>
      <c r="B304" s="45"/>
      <c r="C304" s="45"/>
      <c r="D304" s="45"/>
      <c r="E304" s="45"/>
      <c r="F304" s="45"/>
      <c r="G304" s="45"/>
      <c r="H304" s="45"/>
      <c r="I304" s="45"/>
      <c r="J304" s="45"/>
      <c r="K304" s="45"/>
      <c r="L304" s="46"/>
      <c r="M304" s="45"/>
      <c r="N304" s="45"/>
      <c r="O304" s="45"/>
      <c r="P304" s="47"/>
      <c r="Q304" s="45"/>
      <c r="R304" s="45"/>
      <c r="S304" s="45"/>
      <c r="T304" s="45"/>
      <c r="U304" s="45"/>
      <c r="V304" s="45"/>
      <c r="W304" s="45"/>
      <c r="X304" s="45"/>
      <c r="Y304" s="45"/>
      <c r="Z304" s="48" t="s">
        <v>642</v>
      </c>
      <c r="AA304" s="45" t="s">
        <v>642</v>
      </c>
      <c r="AB304" s="45">
        <v>0</v>
      </c>
      <c r="AD304"/>
    </row>
    <row r="305" spans="1:30" ht="12.75" customHeight="1">
      <c r="A305" s="45"/>
      <c r="B305" s="45"/>
      <c r="C305" s="45"/>
      <c r="D305" s="45"/>
      <c r="E305" s="45"/>
      <c r="F305" s="45"/>
      <c r="G305" s="45"/>
      <c r="H305" s="45"/>
      <c r="I305" s="45"/>
      <c r="J305" s="45"/>
      <c r="K305" s="45"/>
      <c r="L305" s="46"/>
      <c r="M305" s="45"/>
      <c r="N305" s="45"/>
      <c r="O305" s="45"/>
      <c r="P305" s="47"/>
      <c r="Q305" s="45"/>
      <c r="R305" s="45"/>
      <c r="S305" s="45"/>
      <c r="T305" s="45"/>
      <c r="U305" s="45"/>
      <c r="V305" s="45"/>
      <c r="W305" s="45"/>
      <c r="X305" s="45"/>
      <c r="Y305" s="45"/>
      <c r="Z305" s="48" t="s">
        <v>642</v>
      </c>
      <c r="AA305" s="45" t="s">
        <v>642</v>
      </c>
      <c r="AB305" s="45">
        <v>0</v>
      </c>
      <c r="AD305"/>
    </row>
    <row r="306" spans="1:30" ht="12.75" customHeight="1">
      <c r="A306" s="45"/>
      <c r="B306" s="45"/>
      <c r="C306" s="45"/>
      <c r="D306" s="45"/>
      <c r="E306" s="45"/>
      <c r="F306" s="45"/>
      <c r="G306" s="45"/>
      <c r="H306" s="45"/>
      <c r="I306" s="45"/>
      <c r="J306" s="45"/>
      <c r="K306" s="45"/>
      <c r="L306" s="46"/>
      <c r="M306" s="45"/>
      <c r="N306" s="45"/>
      <c r="O306" s="45"/>
      <c r="P306" s="47"/>
      <c r="Q306" s="45"/>
      <c r="R306" s="45"/>
      <c r="S306" s="45"/>
      <c r="T306" s="45"/>
      <c r="U306" s="45"/>
      <c r="V306" s="45"/>
      <c r="W306" s="45"/>
      <c r="X306" s="45"/>
      <c r="Y306" s="45"/>
      <c r="Z306" s="48" t="s">
        <v>642</v>
      </c>
      <c r="AA306" s="45" t="s">
        <v>642</v>
      </c>
      <c r="AB306" s="45">
        <v>0</v>
      </c>
      <c r="AD306"/>
    </row>
    <row r="307" spans="1:30" ht="12.75" customHeight="1">
      <c r="A307" s="45"/>
      <c r="B307" s="45"/>
      <c r="C307" s="45"/>
      <c r="D307" s="45"/>
      <c r="E307" s="45"/>
      <c r="F307" s="45"/>
      <c r="G307" s="45"/>
      <c r="H307" s="45"/>
      <c r="I307" s="45"/>
      <c r="J307" s="45"/>
      <c r="K307" s="45"/>
      <c r="L307" s="46"/>
      <c r="M307" s="45"/>
      <c r="N307" s="45"/>
      <c r="O307" s="45"/>
      <c r="P307" s="47"/>
      <c r="Q307" s="45"/>
      <c r="R307" s="45"/>
      <c r="S307" s="45"/>
      <c r="T307" s="45"/>
      <c r="U307" s="45"/>
      <c r="V307" s="45"/>
      <c r="W307" s="45"/>
      <c r="X307" s="45"/>
      <c r="Y307" s="45"/>
      <c r="Z307" s="48" t="s">
        <v>642</v>
      </c>
      <c r="AA307" s="45" t="s">
        <v>642</v>
      </c>
      <c r="AB307" s="45">
        <v>0</v>
      </c>
      <c r="AD307"/>
    </row>
    <row r="308" spans="1:30" ht="12.75" customHeight="1">
      <c r="A308" s="45"/>
      <c r="B308" s="45"/>
      <c r="C308" s="45"/>
      <c r="D308" s="45"/>
      <c r="E308" s="45"/>
      <c r="F308" s="45"/>
      <c r="G308" s="45"/>
      <c r="H308" s="45"/>
      <c r="I308" s="45"/>
      <c r="J308" s="45"/>
      <c r="K308" s="45"/>
      <c r="L308" s="46"/>
      <c r="M308" s="45"/>
      <c r="N308" s="45"/>
      <c r="O308" s="45"/>
      <c r="P308" s="47"/>
      <c r="Q308" s="45"/>
      <c r="R308" s="45"/>
      <c r="S308" s="45"/>
      <c r="T308" s="45"/>
      <c r="U308" s="45"/>
      <c r="V308" s="45"/>
      <c r="W308" s="45"/>
      <c r="X308" s="45"/>
      <c r="Y308" s="45"/>
      <c r="Z308" s="48" t="s">
        <v>642</v>
      </c>
      <c r="AA308" s="45" t="s">
        <v>642</v>
      </c>
      <c r="AB308" s="45">
        <v>0</v>
      </c>
      <c r="AD308"/>
    </row>
    <row r="309" spans="1:30" ht="12.75" customHeight="1">
      <c r="A309" s="45"/>
      <c r="B309" s="45"/>
      <c r="C309" s="45"/>
      <c r="D309" s="45"/>
      <c r="E309" s="45"/>
      <c r="F309" s="45"/>
      <c r="G309" s="45"/>
      <c r="H309" s="45"/>
      <c r="I309" s="45"/>
      <c r="J309" s="45"/>
      <c r="K309" s="45"/>
      <c r="L309" s="46"/>
      <c r="M309" s="45"/>
      <c r="N309" s="45"/>
      <c r="O309" s="45"/>
      <c r="P309" s="47"/>
      <c r="Q309" s="45"/>
      <c r="R309" s="45"/>
      <c r="S309" s="45"/>
      <c r="T309" s="45"/>
      <c r="U309" s="45"/>
      <c r="V309" s="45"/>
      <c r="W309" s="45"/>
      <c r="X309" s="45"/>
      <c r="Y309" s="45"/>
      <c r="Z309" s="48" t="s">
        <v>642</v>
      </c>
      <c r="AA309" s="45" t="s">
        <v>642</v>
      </c>
      <c r="AB309" s="45">
        <v>0</v>
      </c>
      <c r="AD309"/>
    </row>
    <row r="310" spans="1:30" ht="12.75" customHeight="1">
      <c r="A310" s="45"/>
      <c r="B310" s="45"/>
      <c r="C310" s="45"/>
      <c r="D310" s="45"/>
      <c r="E310" s="45"/>
      <c r="F310" s="45"/>
      <c r="G310" s="45"/>
      <c r="H310" s="45"/>
      <c r="I310" s="45"/>
      <c r="J310" s="45"/>
      <c r="K310" s="45"/>
      <c r="L310" s="46"/>
      <c r="M310" s="45"/>
      <c r="N310" s="45"/>
      <c r="O310" s="45"/>
      <c r="P310" s="47"/>
      <c r="Q310" s="45"/>
      <c r="R310" s="45"/>
      <c r="S310" s="45"/>
      <c r="T310" s="45"/>
      <c r="U310" s="45"/>
      <c r="V310" s="45"/>
      <c r="W310" s="45"/>
      <c r="X310" s="45"/>
      <c r="Y310" s="45"/>
      <c r="Z310" s="48" t="s">
        <v>642</v>
      </c>
      <c r="AA310" s="45" t="s">
        <v>642</v>
      </c>
      <c r="AB310" s="45">
        <v>0</v>
      </c>
      <c r="AD310"/>
    </row>
    <row r="311" spans="1:30" ht="12.75" customHeight="1">
      <c r="A311" s="45"/>
      <c r="B311" s="45"/>
      <c r="C311" s="45"/>
      <c r="D311" s="45"/>
      <c r="E311" s="45"/>
      <c r="F311" s="45"/>
      <c r="G311" s="45"/>
      <c r="H311" s="45"/>
      <c r="I311" s="45"/>
      <c r="J311" s="45"/>
      <c r="K311" s="45"/>
      <c r="L311" s="46"/>
      <c r="M311" s="45"/>
      <c r="N311" s="45"/>
      <c r="O311" s="45"/>
      <c r="P311" s="47"/>
      <c r="Q311" s="45"/>
      <c r="R311" s="45"/>
      <c r="S311" s="45"/>
      <c r="T311" s="45"/>
      <c r="U311" s="45"/>
      <c r="V311" s="45"/>
      <c r="W311" s="45"/>
      <c r="X311" s="45"/>
      <c r="Y311" s="45"/>
      <c r="Z311" s="48" t="s">
        <v>642</v>
      </c>
      <c r="AA311" s="45" t="s">
        <v>642</v>
      </c>
      <c r="AB311" s="45">
        <v>0</v>
      </c>
      <c r="AD311"/>
    </row>
    <row r="312" spans="1:30" ht="12.75" customHeight="1">
      <c r="A312" s="45"/>
      <c r="B312" s="45"/>
      <c r="C312" s="45"/>
      <c r="D312" s="45"/>
      <c r="E312" s="45"/>
      <c r="F312" s="45"/>
      <c r="G312" s="45"/>
      <c r="H312" s="45"/>
      <c r="I312" s="45"/>
      <c r="J312" s="45"/>
      <c r="K312" s="45"/>
      <c r="L312" s="46"/>
      <c r="M312" s="45"/>
      <c r="N312" s="45"/>
      <c r="O312" s="45"/>
      <c r="P312" s="47"/>
      <c r="Q312" s="45"/>
      <c r="R312" s="45"/>
      <c r="S312" s="45"/>
      <c r="T312" s="45"/>
      <c r="U312" s="45"/>
      <c r="V312" s="45"/>
      <c r="W312" s="45"/>
      <c r="X312" s="45"/>
      <c r="Y312" s="45"/>
      <c r="Z312" s="48" t="s">
        <v>642</v>
      </c>
      <c r="AA312" s="45" t="s">
        <v>642</v>
      </c>
      <c r="AB312" s="45">
        <v>0</v>
      </c>
      <c r="AD312"/>
    </row>
    <row r="313" spans="1:30" ht="12.75" customHeight="1">
      <c r="A313" s="45"/>
      <c r="B313" s="45"/>
      <c r="C313" s="45"/>
      <c r="D313" s="45"/>
      <c r="E313" s="45"/>
      <c r="F313" s="45"/>
      <c r="G313" s="45"/>
      <c r="H313" s="45"/>
      <c r="I313" s="45"/>
      <c r="J313" s="45"/>
      <c r="K313" s="45"/>
      <c r="L313" s="46"/>
      <c r="M313" s="45"/>
      <c r="N313" s="45"/>
      <c r="O313" s="45"/>
      <c r="P313" s="47"/>
      <c r="Q313" s="45"/>
      <c r="R313" s="45"/>
      <c r="S313" s="45"/>
      <c r="T313" s="45"/>
      <c r="U313" s="45"/>
      <c r="V313" s="45"/>
      <c r="W313" s="45"/>
      <c r="X313" s="45"/>
      <c r="Y313" s="45"/>
      <c r="Z313" s="48" t="s">
        <v>642</v>
      </c>
      <c r="AA313" s="45" t="s">
        <v>642</v>
      </c>
      <c r="AB313" s="45">
        <v>0</v>
      </c>
      <c r="AD313"/>
    </row>
    <row r="314" spans="1:30" ht="12.75" customHeight="1">
      <c r="A314" s="45"/>
      <c r="B314" s="45"/>
      <c r="C314" s="45"/>
      <c r="D314" s="45"/>
      <c r="E314" s="45"/>
      <c r="F314" s="45"/>
      <c r="G314" s="45"/>
      <c r="H314" s="45"/>
      <c r="I314" s="45"/>
      <c r="J314" s="45"/>
      <c r="K314" s="45"/>
      <c r="L314" s="46"/>
      <c r="M314" s="45"/>
      <c r="N314" s="45"/>
      <c r="O314" s="45"/>
      <c r="P314" s="47"/>
      <c r="Q314" s="45"/>
      <c r="R314" s="45"/>
      <c r="S314" s="45"/>
      <c r="T314" s="45"/>
      <c r="U314" s="45"/>
      <c r="V314" s="45"/>
      <c r="W314" s="45"/>
      <c r="X314" s="45"/>
      <c r="Y314" s="45"/>
      <c r="Z314" s="48" t="s">
        <v>642</v>
      </c>
      <c r="AA314" s="45" t="s">
        <v>642</v>
      </c>
      <c r="AB314" s="45">
        <v>0</v>
      </c>
      <c r="AD314"/>
    </row>
    <row r="315" spans="1:30" ht="12.75" customHeight="1">
      <c r="A315" s="45"/>
      <c r="B315" s="45"/>
      <c r="C315" s="45"/>
      <c r="D315" s="45"/>
      <c r="E315" s="45"/>
      <c r="F315" s="45"/>
      <c r="G315" s="45"/>
      <c r="H315" s="45"/>
      <c r="I315" s="45"/>
      <c r="J315" s="45"/>
      <c r="K315" s="45"/>
      <c r="L315" s="46"/>
      <c r="M315" s="45"/>
      <c r="N315" s="45"/>
      <c r="O315" s="45"/>
      <c r="P315" s="47"/>
      <c r="Q315" s="45"/>
      <c r="R315" s="45"/>
      <c r="S315" s="45"/>
      <c r="T315" s="45"/>
      <c r="U315" s="45"/>
      <c r="V315" s="45"/>
      <c r="W315" s="45"/>
      <c r="X315" s="45"/>
      <c r="Y315" s="45"/>
      <c r="Z315" s="48" t="s">
        <v>642</v>
      </c>
      <c r="AA315" s="45" t="s">
        <v>642</v>
      </c>
      <c r="AB315" s="45">
        <v>0</v>
      </c>
      <c r="AD315"/>
    </row>
    <row r="316" spans="1:30" ht="12.75" customHeight="1">
      <c r="A316" s="45"/>
      <c r="B316" s="45"/>
      <c r="C316" s="45"/>
      <c r="D316" s="45"/>
      <c r="E316" s="45"/>
      <c r="F316" s="45"/>
      <c r="G316" s="45"/>
      <c r="H316" s="45"/>
      <c r="I316" s="45"/>
      <c r="J316" s="45"/>
      <c r="K316" s="45"/>
      <c r="L316" s="46"/>
      <c r="M316" s="45"/>
      <c r="N316" s="45"/>
      <c r="O316" s="45"/>
      <c r="P316" s="47"/>
      <c r="Q316" s="45"/>
      <c r="R316" s="45"/>
      <c r="S316" s="45"/>
      <c r="T316" s="45"/>
      <c r="U316" s="45"/>
      <c r="V316" s="45"/>
      <c r="W316" s="45"/>
      <c r="X316" s="45"/>
      <c r="Y316" s="45"/>
      <c r="Z316" s="48" t="s">
        <v>642</v>
      </c>
      <c r="AA316" s="45" t="s">
        <v>642</v>
      </c>
      <c r="AB316" s="45">
        <v>0</v>
      </c>
      <c r="AD316"/>
    </row>
    <row r="317" spans="1:30" ht="12.75" customHeight="1">
      <c r="A317" s="45"/>
      <c r="B317" s="45"/>
      <c r="C317" s="45"/>
      <c r="D317" s="45"/>
      <c r="E317" s="45"/>
      <c r="F317" s="45"/>
      <c r="G317" s="45"/>
      <c r="H317" s="45"/>
      <c r="I317" s="45"/>
      <c r="J317" s="45"/>
      <c r="K317" s="45"/>
      <c r="L317" s="46"/>
      <c r="M317" s="45"/>
      <c r="N317" s="45"/>
      <c r="O317" s="45"/>
      <c r="P317" s="47"/>
      <c r="Q317" s="45"/>
      <c r="R317" s="45"/>
      <c r="S317" s="45"/>
      <c r="T317" s="45"/>
      <c r="U317" s="45"/>
      <c r="V317" s="45"/>
      <c r="W317" s="45"/>
      <c r="X317" s="45"/>
      <c r="Y317" s="45"/>
      <c r="Z317" s="48" t="s">
        <v>642</v>
      </c>
      <c r="AA317" s="45" t="s">
        <v>642</v>
      </c>
      <c r="AB317" s="45">
        <v>0</v>
      </c>
      <c r="AD317"/>
    </row>
    <row r="318" spans="1:30" ht="12.75" customHeight="1">
      <c r="A318" s="45"/>
      <c r="B318" s="45"/>
      <c r="C318" s="45"/>
      <c r="D318" s="45"/>
      <c r="E318" s="45"/>
      <c r="F318" s="45"/>
      <c r="G318" s="45"/>
      <c r="H318" s="45"/>
      <c r="I318" s="45"/>
      <c r="J318" s="45"/>
      <c r="K318" s="45"/>
      <c r="L318" s="46"/>
      <c r="M318" s="45"/>
      <c r="N318" s="45"/>
      <c r="O318" s="45"/>
      <c r="P318" s="47"/>
      <c r="Q318" s="45"/>
      <c r="R318" s="45"/>
      <c r="S318" s="45"/>
      <c r="T318" s="45"/>
      <c r="U318" s="45"/>
      <c r="V318" s="45"/>
      <c r="W318" s="45"/>
      <c r="X318" s="45"/>
      <c r="Y318" s="45"/>
      <c r="Z318" s="48" t="s">
        <v>642</v>
      </c>
      <c r="AA318" s="45" t="s">
        <v>642</v>
      </c>
      <c r="AB318" s="45">
        <v>0</v>
      </c>
      <c r="AD318"/>
    </row>
    <row r="319" spans="1:30" ht="12.75" customHeight="1">
      <c r="A319" s="45"/>
      <c r="B319" s="45"/>
      <c r="C319" s="45"/>
      <c r="D319" s="45"/>
      <c r="E319" s="45"/>
      <c r="F319" s="45"/>
      <c r="G319" s="45"/>
      <c r="H319" s="45"/>
      <c r="I319" s="45"/>
      <c r="J319" s="45"/>
      <c r="K319" s="45"/>
      <c r="L319" s="46"/>
      <c r="M319" s="45"/>
      <c r="N319" s="45"/>
      <c r="O319" s="45"/>
      <c r="P319" s="47"/>
      <c r="Q319" s="45"/>
      <c r="R319" s="45"/>
      <c r="S319" s="45"/>
      <c r="T319" s="45"/>
      <c r="U319" s="45"/>
      <c r="V319" s="45"/>
      <c r="W319" s="45"/>
      <c r="X319" s="45"/>
      <c r="Y319" s="45"/>
      <c r="Z319" s="48" t="s">
        <v>642</v>
      </c>
      <c r="AA319" s="45" t="s">
        <v>642</v>
      </c>
      <c r="AB319" s="45">
        <v>0</v>
      </c>
      <c r="AD319"/>
    </row>
    <row r="320" spans="1:30" ht="12.75" customHeight="1">
      <c r="A320" s="45"/>
      <c r="B320" s="45"/>
      <c r="C320" s="45"/>
      <c r="D320" s="45"/>
      <c r="E320" s="45"/>
      <c r="F320" s="45"/>
      <c r="G320" s="45"/>
      <c r="H320" s="45"/>
      <c r="I320" s="45"/>
      <c r="J320" s="45"/>
      <c r="K320" s="45"/>
      <c r="L320" s="46"/>
      <c r="M320" s="45"/>
      <c r="N320" s="45"/>
      <c r="O320" s="45"/>
      <c r="P320" s="47"/>
      <c r="Q320" s="45"/>
      <c r="R320" s="45"/>
      <c r="S320" s="45"/>
      <c r="T320" s="45"/>
      <c r="U320" s="45"/>
      <c r="V320" s="45"/>
      <c r="W320" s="45"/>
      <c r="X320" s="45"/>
      <c r="Y320" s="45"/>
      <c r="Z320" s="48" t="s">
        <v>642</v>
      </c>
      <c r="AA320" s="45" t="s">
        <v>642</v>
      </c>
      <c r="AB320" s="45">
        <v>0</v>
      </c>
      <c r="AD320"/>
    </row>
    <row r="321" spans="1:30" ht="12.75" customHeight="1">
      <c r="A321" s="45"/>
      <c r="B321" s="45"/>
      <c r="C321" s="45"/>
      <c r="D321" s="45"/>
      <c r="E321" s="45"/>
      <c r="F321" s="45"/>
      <c r="G321" s="45"/>
      <c r="H321" s="45"/>
      <c r="I321" s="45"/>
      <c r="J321" s="45"/>
      <c r="K321" s="45"/>
      <c r="L321" s="46"/>
      <c r="M321" s="45"/>
      <c r="N321" s="45"/>
      <c r="O321" s="45"/>
      <c r="P321" s="47"/>
      <c r="Q321" s="45"/>
      <c r="R321" s="45"/>
      <c r="S321" s="45"/>
      <c r="T321" s="45"/>
      <c r="U321" s="45"/>
      <c r="V321" s="45"/>
      <c r="W321" s="45"/>
      <c r="X321" s="45"/>
      <c r="Y321" s="45"/>
      <c r="Z321" s="48" t="s">
        <v>642</v>
      </c>
      <c r="AA321" s="45" t="s">
        <v>642</v>
      </c>
      <c r="AB321" s="45">
        <v>0</v>
      </c>
      <c r="AD321"/>
    </row>
    <row r="322" spans="1:30" ht="12.75" customHeight="1">
      <c r="A322" s="45"/>
      <c r="B322" s="45"/>
      <c r="C322" s="45"/>
      <c r="D322" s="45"/>
      <c r="E322" s="45"/>
      <c r="F322" s="45"/>
      <c r="G322" s="45"/>
      <c r="H322" s="45"/>
      <c r="I322" s="45"/>
      <c r="J322" s="45"/>
      <c r="K322" s="45"/>
      <c r="L322" s="46"/>
      <c r="M322" s="45"/>
      <c r="N322" s="45"/>
      <c r="O322" s="45"/>
      <c r="P322" s="47"/>
      <c r="Q322" s="45"/>
      <c r="R322" s="45"/>
      <c r="S322" s="45"/>
      <c r="T322" s="45"/>
      <c r="U322" s="45"/>
      <c r="V322" s="45"/>
      <c r="W322" s="45"/>
      <c r="X322" s="45"/>
      <c r="Y322" s="45"/>
      <c r="Z322" s="48" t="s">
        <v>642</v>
      </c>
      <c r="AA322" s="45" t="s">
        <v>642</v>
      </c>
      <c r="AB322" s="45">
        <v>0</v>
      </c>
      <c r="AD322"/>
    </row>
    <row r="323" spans="1:30" ht="12.75" customHeight="1">
      <c r="A323" s="45"/>
      <c r="B323" s="45"/>
      <c r="C323" s="45"/>
      <c r="D323" s="45"/>
      <c r="E323" s="45"/>
      <c r="F323" s="45"/>
      <c r="G323" s="45"/>
      <c r="H323" s="45"/>
      <c r="I323" s="45"/>
      <c r="J323" s="45"/>
      <c r="K323" s="45"/>
      <c r="L323" s="46"/>
      <c r="M323" s="45"/>
      <c r="N323" s="45"/>
      <c r="O323" s="45"/>
      <c r="P323" s="47"/>
      <c r="Q323" s="45"/>
      <c r="R323" s="45"/>
      <c r="S323" s="45"/>
      <c r="T323" s="45"/>
      <c r="U323" s="45"/>
      <c r="V323" s="45"/>
      <c r="W323" s="45"/>
      <c r="X323" s="45"/>
      <c r="Y323" s="45"/>
      <c r="Z323" s="48" t="s">
        <v>642</v>
      </c>
      <c r="AA323" s="45" t="s">
        <v>642</v>
      </c>
      <c r="AB323" s="45">
        <v>0</v>
      </c>
      <c r="AD323"/>
    </row>
    <row r="324" spans="1:30" ht="12.75" customHeight="1">
      <c r="A324" s="45"/>
      <c r="B324" s="45"/>
      <c r="C324" s="45"/>
      <c r="D324" s="45"/>
      <c r="E324" s="45"/>
      <c r="F324" s="45"/>
      <c r="G324" s="45"/>
      <c r="H324" s="45"/>
      <c r="I324" s="45"/>
      <c r="J324" s="45"/>
      <c r="K324" s="45"/>
      <c r="L324" s="46"/>
      <c r="M324" s="45"/>
      <c r="N324" s="45"/>
      <c r="O324" s="45"/>
      <c r="P324" s="47"/>
      <c r="Q324" s="45"/>
      <c r="R324" s="45"/>
      <c r="S324" s="45"/>
      <c r="T324" s="45"/>
      <c r="U324" s="45"/>
      <c r="V324" s="45"/>
      <c r="W324" s="45"/>
      <c r="X324" s="45"/>
      <c r="Y324" s="45"/>
      <c r="Z324" s="48" t="s">
        <v>642</v>
      </c>
      <c r="AA324" s="45" t="s">
        <v>642</v>
      </c>
      <c r="AB324" s="45">
        <v>0</v>
      </c>
      <c r="AD324"/>
    </row>
    <row r="325" spans="1:30" ht="12.75" customHeight="1">
      <c r="A325" s="45"/>
      <c r="B325" s="45"/>
      <c r="C325" s="45"/>
      <c r="D325" s="45"/>
      <c r="E325" s="45"/>
      <c r="F325" s="45"/>
      <c r="G325" s="45"/>
      <c r="H325" s="45"/>
      <c r="I325" s="45"/>
      <c r="J325" s="45"/>
      <c r="K325" s="45"/>
      <c r="L325" s="46"/>
      <c r="M325" s="45"/>
      <c r="N325" s="45"/>
      <c r="O325" s="45"/>
      <c r="P325" s="47"/>
      <c r="Q325" s="45"/>
      <c r="R325" s="45"/>
      <c r="S325" s="45"/>
      <c r="T325" s="45"/>
      <c r="U325" s="45"/>
      <c r="V325" s="45"/>
      <c r="W325" s="45"/>
      <c r="X325" s="45"/>
      <c r="Y325" s="45"/>
      <c r="Z325" s="48" t="s">
        <v>642</v>
      </c>
      <c r="AA325" s="45" t="s">
        <v>642</v>
      </c>
      <c r="AB325" s="45">
        <v>0</v>
      </c>
      <c r="AD325"/>
    </row>
    <row r="326" spans="1:30" ht="12.75" customHeight="1">
      <c r="A326" s="45"/>
      <c r="B326" s="45"/>
      <c r="C326" s="45"/>
      <c r="D326" s="45"/>
      <c r="E326" s="45"/>
      <c r="F326" s="45"/>
      <c r="G326" s="45"/>
      <c r="H326" s="45"/>
      <c r="I326" s="45"/>
      <c r="J326" s="45"/>
      <c r="K326" s="45"/>
      <c r="L326" s="46"/>
      <c r="M326" s="45"/>
      <c r="N326" s="45"/>
      <c r="O326" s="45"/>
      <c r="P326" s="47"/>
      <c r="Q326" s="45"/>
      <c r="R326" s="45"/>
      <c r="S326" s="45"/>
      <c r="T326" s="45"/>
      <c r="U326" s="45"/>
      <c r="V326" s="45"/>
      <c r="W326" s="45"/>
      <c r="X326" s="45"/>
      <c r="Y326" s="45"/>
      <c r="Z326" s="48" t="s">
        <v>642</v>
      </c>
      <c r="AA326" s="45" t="s">
        <v>642</v>
      </c>
      <c r="AB326" s="45">
        <v>0</v>
      </c>
      <c r="AD326"/>
    </row>
    <row r="327" spans="1:30" ht="12.75" customHeight="1">
      <c r="A327" s="45"/>
      <c r="B327" s="45"/>
      <c r="C327" s="45"/>
      <c r="D327" s="45"/>
      <c r="E327" s="45"/>
      <c r="F327" s="45"/>
      <c r="G327" s="45"/>
      <c r="H327" s="45"/>
      <c r="I327" s="45"/>
      <c r="J327" s="45"/>
      <c r="K327" s="45"/>
      <c r="L327" s="46"/>
      <c r="M327" s="45"/>
      <c r="N327" s="45"/>
      <c r="O327" s="45"/>
      <c r="P327" s="47"/>
      <c r="Q327" s="45"/>
      <c r="R327" s="45"/>
      <c r="S327" s="45"/>
      <c r="T327" s="45"/>
      <c r="U327" s="45"/>
      <c r="V327" s="45"/>
      <c r="W327" s="45"/>
      <c r="X327" s="45"/>
      <c r="Y327" s="45"/>
      <c r="Z327" s="48" t="s">
        <v>642</v>
      </c>
      <c r="AA327" s="45" t="s">
        <v>642</v>
      </c>
      <c r="AB327" s="45">
        <v>0</v>
      </c>
      <c r="AD327"/>
    </row>
    <row r="328" spans="1:30" ht="12.75" customHeight="1">
      <c r="A328" s="45"/>
      <c r="B328" s="45"/>
      <c r="C328" s="45"/>
      <c r="D328" s="45"/>
      <c r="E328" s="45"/>
      <c r="F328" s="45"/>
      <c r="G328" s="45"/>
      <c r="H328" s="45"/>
      <c r="I328" s="45"/>
      <c r="J328" s="45"/>
      <c r="K328" s="45"/>
      <c r="L328" s="46"/>
      <c r="M328" s="45"/>
      <c r="N328" s="45"/>
      <c r="O328" s="45"/>
      <c r="P328" s="47"/>
      <c r="Q328" s="45"/>
      <c r="R328" s="45"/>
      <c r="S328" s="45"/>
      <c r="T328" s="45"/>
      <c r="U328" s="45"/>
      <c r="V328" s="45"/>
      <c r="W328" s="45"/>
      <c r="X328" s="45"/>
      <c r="Y328" s="45"/>
      <c r="Z328" s="48" t="s">
        <v>642</v>
      </c>
      <c r="AA328" s="45" t="s">
        <v>642</v>
      </c>
      <c r="AB328" s="45">
        <v>0</v>
      </c>
      <c r="AD328"/>
    </row>
    <row r="329" spans="1:30" ht="12.75" customHeight="1">
      <c r="A329" s="45"/>
      <c r="B329" s="45"/>
      <c r="C329" s="45"/>
      <c r="D329" s="45"/>
      <c r="E329" s="45"/>
      <c r="F329" s="45"/>
      <c r="G329" s="45"/>
      <c r="H329" s="45"/>
      <c r="I329" s="45"/>
      <c r="J329" s="45"/>
      <c r="K329" s="45"/>
      <c r="L329" s="46"/>
      <c r="M329" s="45"/>
      <c r="N329" s="45"/>
      <c r="O329" s="45"/>
      <c r="P329" s="47"/>
      <c r="Q329" s="45"/>
      <c r="R329" s="45"/>
      <c r="S329" s="45"/>
      <c r="T329" s="45"/>
      <c r="U329" s="45"/>
      <c r="V329" s="45"/>
      <c r="W329" s="45"/>
      <c r="X329" s="45"/>
      <c r="Y329" s="45"/>
      <c r="Z329" s="48" t="s">
        <v>642</v>
      </c>
      <c r="AA329" s="45" t="s">
        <v>642</v>
      </c>
      <c r="AB329" s="45">
        <v>0</v>
      </c>
      <c r="AD329"/>
    </row>
    <row r="330" spans="1:30" ht="12.75" customHeight="1">
      <c r="A330" s="45"/>
      <c r="B330" s="45"/>
      <c r="C330" s="45"/>
      <c r="D330" s="45"/>
      <c r="E330" s="45"/>
      <c r="F330" s="45"/>
      <c r="G330" s="45"/>
      <c r="H330" s="45"/>
      <c r="I330" s="45"/>
      <c r="J330" s="45"/>
      <c r="K330" s="45"/>
      <c r="L330" s="46"/>
      <c r="M330" s="45"/>
      <c r="N330" s="45"/>
      <c r="O330" s="45"/>
      <c r="P330" s="47"/>
      <c r="Q330" s="45"/>
      <c r="R330" s="45"/>
      <c r="S330" s="45"/>
      <c r="T330" s="45"/>
      <c r="U330" s="45"/>
      <c r="V330" s="45"/>
      <c r="W330" s="45"/>
      <c r="X330" s="45"/>
      <c r="Y330" s="45"/>
      <c r="Z330" s="48" t="s">
        <v>642</v>
      </c>
      <c r="AA330" s="45" t="s">
        <v>642</v>
      </c>
      <c r="AB330" s="45">
        <v>0</v>
      </c>
      <c r="AD330"/>
    </row>
    <row r="331" spans="1:30" ht="12.75" customHeight="1">
      <c r="A331" s="45"/>
      <c r="B331" s="45"/>
      <c r="C331" s="45"/>
      <c r="D331" s="45"/>
      <c r="E331" s="45"/>
      <c r="F331" s="45"/>
      <c r="G331" s="45"/>
      <c r="H331" s="45"/>
      <c r="I331" s="45"/>
      <c r="J331" s="45"/>
      <c r="K331" s="45"/>
      <c r="L331" s="46"/>
      <c r="M331" s="45"/>
      <c r="N331" s="45"/>
      <c r="O331" s="45"/>
      <c r="P331" s="47"/>
      <c r="Q331" s="45"/>
      <c r="R331" s="45"/>
      <c r="S331" s="45"/>
      <c r="T331" s="45"/>
      <c r="U331" s="45"/>
      <c r="V331" s="45"/>
      <c r="W331" s="45"/>
      <c r="X331" s="45"/>
      <c r="Y331" s="45"/>
      <c r="Z331" s="48" t="s">
        <v>642</v>
      </c>
      <c r="AA331" s="45" t="s">
        <v>642</v>
      </c>
      <c r="AB331" s="45">
        <v>0</v>
      </c>
      <c r="AD331"/>
    </row>
    <row r="332" spans="1:30" ht="12.75" customHeight="1">
      <c r="A332" s="45"/>
      <c r="B332" s="45"/>
      <c r="C332" s="45"/>
      <c r="D332" s="45"/>
      <c r="E332" s="45"/>
      <c r="F332" s="45"/>
      <c r="G332" s="45"/>
      <c r="H332" s="45"/>
      <c r="I332" s="45"/>
      <c r="J332" s="45"/>
      <c r="K332" s="45"/>
      <c r="L332" s="46"/>
      <c r="M332" s="45"/>
      <c r="N332" s="45"/>
      <c r="O332" s="45"/>
      <c r="P332" s="47"/>
      <c r="Q332" s="45"/>
      <c r="R332" s="45"/>
      <c r="S332" s="45"/>
      <c r="T332" s="45"/>
      <c r="U332" s="45"/>
      <c r="V332" s="45"/>
      <c r="W332" s="45"/>
      <c r="X332" s="45"/>
      <c r="Y332" s="45"/>
      <c r="Z332" s="48" t="s">
        <v>642</v>
      </c>
      <c r="AA332" s="45" t="s">
        <v>642</v>
      </c>
      <c r="AB332" s="45">
        <v>0</v>
      </c>
      <c r="AD332"/>
    </row>
    <row r="333" spans="1:30" ht="12.75" customHeight="1">
      <c r="A333" s="45"/>
      <c r="B333" s="45"/>
      <c r="C333" s="45"/>
      <c r="D333" s="45"/>
      <c r="E333" s="45"/>
      <c r="F333" s="45"/>
      <c r="G333" s="45"/>
      <c r="H333" s="45"/>
      <c r="I333" s="45"/>
      <c r="J333" s="45"/>
      <c r="K333" s="45"/>
      <c r="L333" s="46"/>
      <c r="M333" s="45"/>
      <c r="N333" s="45"/>
      <c r="O333" s="45"/>
      <c r="P333" s="47"/>
      <c r="Q333" s="45"/>
      <c r="R333" s="45"/>
      <c r="S333" s="45"/>
      <c r="T333" s="45"/>
      <c r="U333" s="45"/>
      <c r="V333" s="45"/>
      <c r="W333" s="45"/>
      <c r="X333" s="45"/>
      <c r="Y333" s="45"/>
      <c r="Z333" s="48" t="s">
        <v>642</v>
      </c>
      <c r="AA333" s="45" t="s">
        <v>642</v>
      </c>
      <c r="AB333" s="45">
        <v>0</v>
      </c>
      <c r="AD333"/>
    </row>
    <row r="334" spans="1:30" ht="12.75" customHeight="1">
      <c r="A334" s="45"/>
      <c r="B334" s="45"/>
      <c r="C334" s="45"/>
      <c r="D334" s="45"/>
      <c r="E334" s="45"/>
      <c r="F334" s="45"/>
      <c r="G334" s="45"/>
      <c r="H334" s="45"/>
      <c r="I334" s="45"/>
      <c r="J334" s="45"/>
      <c r="K334" s="45"/>
      <c r="L334" s="46"/>
      <c r="M334" s="45"/>
      <c r="N334" s="45"/>
      <c r="O334" s="45"/>
      <c r="P334" s="47"/>
      <c r="Q334" s="45"/>
      <c r="R334" s="45"/>
      <c r="S334" s="45"/>
      <c r="T334" s="45"/>
      <c r="U334" s="45"/>
      <c r="V334" s="45"/>
      <c r="W334" s="45"/>
      <c r="X334" s="45"/>
      <c r="Y334" s="45"/>
      <c r="Z334" s="48" t="s">
        <v>642</v>
      </c>
      <c r="AA334" s="45" t="s">
        <v>642</v>
      </c>
      <c r="AB334" s="45">
        <v>0</v>
      </c>
      <c r="AD334"/>
    </row>
    <row r="335" spans="1:30" ht="12.75" customHeight="1">
      <c r="A335" s="45"/>
      <c r="B335" s="45"/>
      <c r="C335" s="45"/>
      <c r="D335" s="45"/>
      <c r="E335" s="45"/>
      <c r="F335" s="45"/>
      <c r="G335" s="45"/>
      <c r="H335" s="45"/>
      <c r="I335" s="45"/>
      <c r="J335" s="45"/>
      <c r="K335" s="45"/>
      <c r="L335" s="46"/>
      <c r="M335" s="45"/>
      <c r="N335" s="45"/>
      <c r="O335" s="45"/>
      <c r="P335" s="47"/>
      <c r="Q335" s="45"/>
      <c r="R335" s="45"/>
      <c r="S335" s="45"/>
      <c r="T335" s="45"/>
      <c r="U335" s="45"/>
      <c r="V335" s="45"/>
      <c r="W335" s="45"/>
      <c r="X335" s="45"/>
      <c r="Y335" s="45"/>
      <c r="Z335" s="48" t="s">
        <v>642</v>
      </c>
      <c r="AA335" s="45" t="s">
        <v>642</v>
      </c>
      <c r="AB335" s="45">
        <v>0</v>
      </c>
      <c r="AD335"/>
    </row>
    <row r="336" spans="1:30" ht="12.75" customHeight="1">
      <c r="A336" s="45"/>
      <c r="B336" s="45"/>
      <c r="C336" s="45"/>
      <c r="D336" s="45"/>
      <c r="E336" s="45"/>
      <c r="F336" s="45"/>
      <c r="G336" s="45"/>
      <c r="H336" s="45"/>
      <c r="I336" s="45"/>
      <c r="J336" s="45"/>
      <c r="K336" s="45"/>
      <c r="L336" s="46"/>
      <c r="M336" s="45"/>
      <c r="N336" s="45"/>
      <c r="O336" s="45"/>
      <c r="P336" s="47"/>
      <c r="Q336" s="45"/>
      <c r="R336" s="45"/>
      <c r="S336" s="45"/>
      <c r="T336" s="45"/>
      <c r="U336" s="45"/>
      <c r="V336" s="45"/>
      <c r="W336" s="45"/>
      <c r="X336" s="45"/>
      <c r="Y336" s="45"/>
      <c r="Z336" s="48" t="s">
        <v>642</v>
      </c>
      <c r="AA336" s="45" t="s">
        <v>642</v>
      </c>
      <c r="AB336" s="45">
        <v>0</v>
      </c>
      <c r="AD336"/>
    </row>
    <row r="337" spans="1:30" ht="12.75" customHeight="1">
      <c r="A337" s="45"/>
      <c r="B337" s="45"/>
      <c r="C337" s="45"/>
      <c r="D337" s="45"/>
      <c r="E337" s="45"/>
      <c r="F337" s="45"/>
      <c r="G337" s="45"/>
      <c r="H337" s="45"/>
      <c r="I337" s="45"/>
      <c r="J337" s="45"/>
      <c r="K337" s="45"/>
      <c r="L337" s="46"/>
      <c r="M337" s="45"/>
      <c r="N337" s="45"/>
      <c r="O337" s="45"/>
      <c r="P337" s="47"/>
      <c r="Q337" s="45"/>
      <c r="R337" s="45"/>
      <c r="S337" s="45"/>
      <c r="T337" s="45"/>
      <c r="U337" s="45"/>
      <c r="V337" s="45"/>
      <c r="W337" s="45"/>
      <c r="X337" s="45"/>
      <c r="Y337" s="45"/>
      <c r="Z337" s="48" t="s">
        <v>642</v>
      </c>
      <c r="AA337" s="45" t="s">
        <v>642</v>
      </c>
      <c r="AB337" s="45">
        <v>0</v>
      </c>
      <c r="AD337"/>
    </row>
    <row r="338" spans="1:30" ht="12.75" customHeight="1">
      <c r="A338" s="45"/>
      <c r="B338" s="45"/>
      <c r="C338" s="45"/>
      <c r="D338" s="45"/>
      <c r="E338" s="45"/>
      <c r="F338" s="45"/>
      <c r="G338" s="45"/>
      <c r="H338" s="45"/>
      <c r="I338" s="45"/>
      <c r="J338" s="45"/>
      <c r="K338" s="45"/>
      <c r="L338" s="46"/>
      <c r="M338" s="45"/>
      <c r="N338" s="45"/>
      <c r="O338" s="45"/>
      <c r="P338" s="47"/>
      <c r="Q338" s="45"/>
      <c r="R338" s="45"/>
      <c r="S338" s="45"/>
      <c r="T338" s="45"/>
      <c r="U338" s="45"/>
      <c r="V338" s="45"/>
      <c r="W338" s="45"/>
      <c r="X338" s="45"/>
      <c r="Y338" s="45"/>
      <c r="Z338" s="48" t="s">
        <v>642</v>
      </c>
      <c r="AA338" s="45" t="s">
        <v>642</v>
      </c>
      <c r="AB338" s="45">
        <v>0</v>
      </c>
      <c r="AD338"/>
    </row>
    <row r="339" spans="1:30" ht="12.75" customHeight="1">
      <c r="A339" s="45"/>
      <c r="B339" s="45"/>
      <c r="C339" s="45"/>
      <c r="D339" s="45"/>
      <c r="E339" s="45"/>
      <c r="F339" s="45"/>
      <c r="G339" s="45"/>
      <c r="H339" s="45"/>
      <c r="I339" s="45"/>
      <c r="J339" s="45"/>
      <c r="K339" s="45"/>
      <c r="L339" s="46"/>
      <c r="M339" s="45"/>
      <c r="N339" s="45"/>
      <c r="O339" s="45"/>
      <c r="P339" s="47"/>
      <c r="Q339" s="45"/>
      <c r="R339" s="45"/>
      <c r="S339" s="45"/>
      <c r="T339" s="45"/>
      <c r="U339" s="45"/>
      <c r="V339" s="45"/>
      <c r="W339" s="45"/>
      <c r="X339" s="45"/>
      <c r="Y339" s="45"/>
      <c r="Z339" s="48" t="s">
        <v>642</v>
      </c>
      <c r="AA339" s="45" t="s">
        <v>642</v>
      </c>
      <c r="AB339" s="45">
        <v>0</v>
      </c>
      <c r="AD339"/>
    </row>
    <row r="340" spans="1:30" ht="12.75" customHeight="1">
      <c r="A340" s="45"/>
      <c r="B340" s="45"/>
      <c r="C340" s="45"/>
      <c r="D340" s="45"/>
      <c r="E340" s="45"/>
      <c r="F340" s="45"/>
      <c r="G340" s="45"/>
      <c r="H340" s="45"/>
      <c r="I340" s="45"/>
      <c r="J340" s="45"/>
      <c r="K340" s="45"/>
      <c r="L340" s="46"/>
      <c r="M340" s="45"/>
      <c r="N340" s="45"/>
      <c r="O340" s="45"/>
      <c r="P340" s="47"/>
      <c r="Q340" s="45"/>
      <c r="R340" s="45"/>
      <c r="S340" s="45"/>
      <c r="T340" s="45"/>
      <c r="U340" s="45"/>
      <c r="V340" s="45"/>
      <c r="W340" s="45"/>
      <c r="X340" s="45"/>
      <c r="Y340" s="45"/>
      <c r="Z340" s="48" t="s">
        <v>642</v>
      </c>
      <c r="AA340" s="45" t="s">
        <v>642</v>
      </c>
      <c r="AB340" s="45">
        <v>0</v>
      </c>
      <c r="AD340"/>
    </row>
    <row r="341" spans="1:30" ht="12.75" customHeight="1">
      <c r="A341" s="45"/>
      <c r="B341" s="45"/>
      <c r="C341" s="45"/>
      <c r="D341" s="45"/>
      <c r="E341" s="45"/>
      <c r="F341" s="45"/>
      <c r="G341" s="45"/>
      <c r="H341" s="45"/>
      <c r="I341" s="45"/>
      <c r="J341" s="45"/>
      <c r="K341" s="45"/>
      <c r="L341" s="46"/>
      <c r="M341" s="45"/>
      <c r="N341" s="45"/>
      <c r="O341" s="45"/>
      <c r="P341" s="47"/>
      <c r="Q341" s="45"/>
      <c r="R341" s="45"/>
      <c r="S341" s="45"/>
      <c r="T341" s="45"/>
      <c r="U341" s="45"/>
      <c r="V341" s="45"/>
      <c r="W341" s="45"/>
      <c r="X341" s="45"/>
      <c r="Y341" s="45"/>
      <c r="Z341" s="48" t="s">
        <v>642</v>
      </c>
      <c r="AA341" s="45" t="s">
        <v>642</v>
      </c>
      <c r="AB341" s="45">
        <v>0</v>
      </c>
      <c r="AD341"/>
    </row>
    <row r="342" spans="1:30" ht="12.75" customHeight="1">
      <c r="A342" s="45"/>
      <c r="B342" s="45"/>
      <c r="C342" s="45"/>
      <c r="D342" s="45"/>
      <c r="E342" s="45"/>
      <c r="F342" s="45"/>
      <c r="G342" s="45"/>
      <c r="H342" s="45"/>
      <c r="I342" s="45"/>
      <c r="J342" s="45"/>
      <c r="K342" s="45"/>
      <c r="L342" s="46"/>
      <c r="M342" s="45"/>
      <c r="N342" s="45"/>
      <c r="O342" s="45"/>
      <c r="P342" s="47"/>
      <c r="Q342" s="45"/>
      <c r="R342" s="45"/>
      <c r="S342" s="45"/>
      <c r="T342" s="45"/>
      <c r="U342" s="45"/>
      <c r="V342" s="45"/>
      <c r="W342" s="45"/>
      <c r="X342" s="45"/>
      <c r="Y342" s="45"/>
      <c r="Z342" s="48" t="s">
        <v>642</v>
      </c>
      <c r="AA342" s="45" t="s">
        <v>642</v>
      </c>
      <c r="AB342" s="45">
        <v>0</v>
      </c>
      <c r="AD342"/>
    </row>
    <row r="343" spans="1:30" ht="12.75" customHeight="1">
      <c r="A343" s="45"/>
      <c r="B343" s="45"/>
      <c r="C343" s="45"/>
      <c r="D343" s="45"/>
      <c r="E343" s="45"/>
      <c r="F343" s="45"/>
      <c r="G343" s="45"/>
      <c r="H343" s="45"/>
      <c r="I343" s="45"/>
      <c r="J343" s="45"/>
      <c r="K343" s="45"/>
      <c r="L343" s="46"/>
      <c r="M343" s="45"/>
      <c r="N343" s="45"/>
      <c r="O343" s="45"/>
      <c r="P343" s="47"/>
      <c r="Q343" s="45"/>
      <c r="R343" s="45"/>
      <c r="S343" s="45"/>
      <c r="T343" s="45"/>
      <c r="U343" s="45"/>
      <c r="V343" s="45"/>
      <c r="W343" s="45"/>
      <c r="X343" s="45"/>
      <c r="Y343" s="45"/>
      <c r="Z343" s="48" t="s">
        <v>642</v>
      </c>
      <c r="AA343" s="45" t="s">
        <v>642</v>
      </c>
      <c r="AB343" s="45">
        <v>0</v>
      </c>
      <c r="AD343"/>
    </row>
    <row r="344" spans="1:30" ht="12.75" customHeight="1">
      <c r="A344" s="45"/>
      <c r="B344" s="45"/>
      <c r="C344" s="45"/>
      <c r="D344" s="45"/>
      <c r="E344" s="45"/>
      <c r="F344" s="45"/>
      <c r="G344" s="45"/>
      <c r="H344" s="45"/>
      <c r="I344" s="45"/>
      <c r="J344" s="45"/>
      <c r="K344" s="45"/>
      <c r="L344" s="46"/>
      <c r="M344" s="45"/>
      <c r="N344" s="45"/>
      <c r="O344" s="45"/>
      <c r="P344" s="47"/>
      <c r="Q344" s="45"/>
      <c r="R344" s="45"/>
      <c r="S344" s="45"/>
      <c r="T344" s="45"/>
      <c r="U344" s="45"/>
      <c r="V344" s="45"/>
      <c r="W344" s="45"/>
      <c r="X344" s="45"/>
      <c r="Y344" s="45"/>
      <c r="Z344" s="48" t="s">
        <v>642</v>
      </c>
      <c r="AA344" s="45" t="s">
        <v>642</v>
      </c>
      <c r="AB344" s="45">
        <v>0</v>
      </c>
      <c r="AD344"/>
    </row>
    <row r="345" spans="1:30" ht="12.75" customHeight="1">
      <c r="A345" s="45"/>
      <c r="B345" s="45"/>
      <c r="C345" s="45"/>
      <c r="D345" s="45"/>
      <c r="E345" s="45"/>
      <c r="F345" s="45"/>
      <c r="G345" s="45"/>
      <c r="H345" s="45"/>
      <c r="I345" s="45"/>
      <c r="J345" s="45"/>
      <c r="K345" s="45"/>
      <c r="L345" s="46"/>
      <c r="M345" s="45"/>
      <c r="N345" s="45"/>
      <c r="O345" s="45"/>
      <c r="P345" s="47"/>
      <c r="Q345" s="45"/>
      <c r="R345" s="45"/>
      <c r="S345" s="45"/>
      <c r="T345" s="45"/>
      <c r="U345" s="45"/>
      <c r="V345" s="45"/>
      <c r="W345" s="45"/>
      <c r="X345" s="45"/>
      <c r="Y345" s="45"/>
      <c r="Z345" s="48" t="s">
        <v>642</v>
      </c>
      <c r="AA345" s="45" t="s">
        <v>642</v>
      </c>
      <c r="AB345" s="45">
        <v>0</v>
      </c>
      <c r="AD345"/>
    </row>
    <row r="346" spans="1:30" ht="12.75" customHeight="1">
      <c r="A346" s="45"/>
      <c r="B346" s="45"/>
      <c r="C346" s="45"/>
      <c r="D346" s="45"/>
      <c r="E346" s="45"/>
      <c r="F346" s="45"/>
      <c r="G346" s="45"/>
      <c r="H346" s="45"/>
      <c r="I346" s="45"/>
      <c r="J346" s="45"/>
      <c r="K346" s="45"/>
      <c r="L346" s="46"/>
      <c r="M346" s="45"/>
      <c r="N346" s="45"/>
      <c r="O346" s="45"/>
      <c r="P346" s="47"/>
      <c r="Q346" s="45"/>
      <c r="R346" s="45"/>
      <c r="S346" s="45"/>
      <c r="T346" s="45"/>
      <c r="U346" s="45"/>
      <c r="V346" s="45"/>
      <c r="W346" s="45"/>
      <c r="X346" s="45"/>
      <c r="Y346" s="45"/>
      <c r="Z346" s="48" t="s">
        <v>642</v>
      </c>
      <c r="AA346" s="45" t="s">
        <v>642</v>
      </c>
      <c r="AB346" s="45">
        <v>0</v>
      </c>
      <c r="AD346"/>
    </row>
    <row r="347" spans="1:30" ht="12.75" customHeight="1">
      <c r="A347" s="45"/>
      <c r="B347" s="45"/>
      <c r="C347" s="45"/>
      <c r="D347" s="45"/>
      <c r="E347" s="45"/>
      <c r="F347" s="45"/>
      <c r="G347" s="45"/>
      <c r="H347" s="45"/>
      <c r="I347" s="45"/>
      <c r="J347" s="45"/>
      <c r="K347" s="45"/>
      <c r="L347" s="46"/>
      <c r="M347" s="45"/>
      <c r="N347" s="45"/>
      <c r="O347" s="45"/>
      <c r="P347" s="47"/>
      <c r="Q347" s="45"/>
      <c r="R347" s="45"/>
      <c r="S347" s="45"/>
      <c r="T347" s="45"/>
      <c r="U347" s="45"/>
      <c r="V347" s="45"/>
      <c r="W347" s="45"/>
      <c r="X347" s="45"/>
      <c r="Y347" s="45"/>
      <c r="Z347" s="48" t="s">
        <v>642</v>
      </c>
      <c r="AA347" s="45" t="s">
        <v>642</v>
      </c>
      <c r="AB347" s="45">
        <v>0</v>
      </c>
      <c r="AD347"/>
    </row>
    <row r="348" spans="1:30" ht="12.75" customHeight="1">
      <c r="A348" s="45"/>
      <c r="B348" s="45"/>
      <c r="C348" s="45"/>
      <c r="D348" s="45"/>
      <c r="E348" s="45"/>
      <c r="F348" s="45"/>
      <c r="G348" s="45"/>
      <c r="H348" s="45"/>
      <c r="I348" s="45"/>
      <c r="J348" s="45"/>
      <c r="K348" s="45"/>
      <c r="L348" s="46"/>
      <c r="M348" s="45"/>
      <c r="N348" s="45"/>
      <c r="O348" s="45"/>
      <c r="P348" s="47"/>
      <c r="Q348" s="45"/>
      <c r="R348" s="45"/>
      <c r="S348" s="45"/>
      <c r="T348" s="45"/>
      <c r="U348" s="45"/>
      <c r="V348" s="45"/>
      <c r="W348" s="45"/>
      <c r="X348" s="45"/>
      <c r="Y348" s="45"/>
      <c r="Z348" s="48" t="s">
        <v>642</v>
      </c>
      <c r="AA348" s="45" t="s">
        <v>642</v>
      </c>
      <c r="AB348" s="45">
        <v>0</v>
      </c>
      <c r="AD348"/>
    </row>
    <row r="349" spans="1:30" ht="12.75" customHeight="1">
      <c r="A349" s="45"/>
      <c r="B349" s="45"/>
      <c r="C349" s="45"/>
      <c r="D349" s="45"/>
      <c r="E349" s="45"/>
      <c r="F349" s="45"/>
      <c r="G349" s="45"/>
      <c r="H349" s="45"/>
      <c r="I349" s="45"/>
      <c r="J349" s="45"/>
      <c r="K349" s="45"/>
      <c r="L349" s="46"/>
      <c r="M349" s="45"/>
      <c r="N349" s="45"/>
      <c r="O349" s="45"/>
      <c r="P349" s="47"/>
      <c r="Q349" s="45"/>
      <c r="R349" s="45"/>
      <c r="S349" s="45"/>
      <c r="T349" s="45"/>
      <c r="U349" s="45"/>
      <c r="V349" s="45"/>
      <c r="W349" s="45"/>
      <c r="X349" s="45"/>
      <c r="Y349" s="45"/>
      <c r="Z349" s="48" t="s">
        <v>642</v>
      </c>
      <c r="AA349" s="45" t="s">
        <v>642</v>
      </c>
      <c r="AB349" s="45">
        <v>0</v>
      </c>
      <c r="AD349"/>
    </row>
    <row r="350" spans="1:30" ht="12.75" customHeight="1">
      <c r="A350" s="45"/>
      <c r="B350" s="45"/>
      <c r="C350" s="45"/>
      <c r="D350" s="45"/>
      <c r="E350" s="45"/>
      <c r="F350" s="45"/>
      <c r="G350" s="45"/>
      <c r="H350" s="45"/>
      <c r="I350" s="45"/>
      <c r="J350" s="45"/>
      <c r="K350" s="45"/>
      <c r="L350" s="46"/>
      <c r="M350" s="45"/>
      <c r="N350" s="45"/>
      <c r="O350" s="45"/>
      <c r="P350" s="47"/>
      <c r="Q350" s="45"/>
      <c r="R350" s="45"/>
      <c r="S350" s="45"/>
      <c r="T350" s="45"/>
      <c r="U350" s="45"/>
      <c r="V350" s="45"/>
      <c r="W350" s="45"/>
      <c r="X350" s="45"/>
      <c r="Y350" s="45"/>
      <c r="Z350" s="48" t="s">
        <v>642</v>
      </c>
      <c r="AA350" s="45" t="s">
        <v>642</v>
      </c>
      <c r="AB350" s="45">
        <v>0</v>
      </c>
      <c r="AD350"/>
    </row>
    <row r="351" spans="1:30" ht="12.75" customHeight="1">
      <c r="A351" s="45"/>
      <c r="B351" s="45"/>
      <c r="C351" s="45"/>
      <c r="D351" s="45"/>
      <c r="E351" s="45"/>
      <c r="F351" s="45"/>
      <c r="G351" s="45"/>
      <c r="H351" s="45"/>
      <c r="I351" s="45"/>
      <c r="J351" s="45"/>
      <c r="K351" s="45"/>
      <c r="L351" s="46"/>
      <c r="M351" s="45"/>
      <c r="N351" s="45"/>
      <c r="O351" s="45"/>
      <c r="P351" s="47"/>
      <c r="Q351" s="45"/>
      <c r="R351" s="45"/>
      <c r="S351" s="45"/>
      <c r="T351" s="45"/>
      <c r="U351" s="45"/>
      <c r="V351" s="45"/>
      <c r="W351" s="45"/>
      <c r="X351" s="45"/>
      <c r="Y351" s="45"/>
      <c r="Z351" s="48" t="s">
        <v>642</v>
      </c>
      <c r="AA351" s="45" t="s">
        <v>642</v>
      </c>
      <c r="AB351" s="45">
        <v>0</v>
      </c>
      <c r="AD351"/>
    </row>
    <row r="352" spans="1:30" ht="12.75" customHeight="1">
      <c r="A352" s="45"/>
      <c r="B352" s="45"/>
      <c r="C352" s="45"/>
      <c r="D352" s="45"/>
      <c r="E352" s="45"/>
      <c r="F352" s="45"/>
      <c r="G352" s="45"/>
      <c r="H352" s="45"/>
      <c r="I352" s="45"/>
      <c r="J352" s="45"/>
      <c r="K352" s="45"/>
      <c r="L352" s="46"/>
      <c r="M352" s="45"/>
      <c r="N352" s="45"/>
      <c r="O352" s="45"/>
      <c r="P352" s="47"/>
      <c r="Q352" s="45"/>
      <c r="R352" s="45"/>
      <c r="S352" s="45"/>
      <c r="T352" s="45"/>
      <c r="U352" s="45"/>
      <c r="V352" s="45"/>
      <c r="W352" s="45"/>
      <c r="X352" s="45"/>
      <c r="Y352" s="45"/>
      <c r="Z352" s="48" t="s">
        <v>642</v>
      </c>
      <c r="AA352" s="45" t="s">
        <v>642</v>
      </c>
      <c r="AB352" s="45">
        <v>0</v>
      </c>
      <c r="AD352"/>
    </row>
    <row r="353" spans="1:30" ht="12.75" customHeight="1">
      <c r="A353" s="45"/>
      <c r="B353" s="45"/>
      <c r="C353" s="45"/>
      <c r="D353" s="45"/>
      <c r="E353" s="45"/>
      <c r="F353" s="45"/>
      <c r="G353" s="45"/>
      <c r="H353" s="45"/>
      <c r="I353" s="45"/>
      <c r="J353" s="45"/>
      <c r="K353" s="45"/>
      <c r="L353" s="46"/>
      <c r="M353" s="45"/>
      <c r="N353" s="45"/>
      <c r="O353" s="45"/>
      <c r="P353" s="47"/>
      <c r="Q353" s="45"/>
      <c r="R353" s="45"/>
      <c r="S353" s="45"/>
      <c r="T353" s="45"/>
      <c r="U353" s="45"/>
      <c r="V353" s="45"/>
      <c r="W353" s="45"/>
      <c r="X353" s="45"/>
      <c r="Y353" s="45"/>
      <c r="Z353" s="48" t="s">
        <v>642</v>
      </c>
      <c r="AA353" s="45" t="s">
        <v>642</v>
      </c>
      <c r="AB353" s="45">
        <v>0</v>
      </c>
      <c r="AD353"/>
    </row>
    <row r="354" spans="1:30" ht="12.75" customHeight="1">
      <c r="A354" s="45"/>
      <c r="B354" s="45"/>
      <c r="C354" s="45"/>
      <c r="D354" s="45"/>
      <c r="E354" s="45"/>
      <c r="F354" s="45"/>
      <c r="G354" s="45"/>
      <c r="H354" s="45"/>
      <c r="I354" s="45"/>
      <c r="J354" s="45"/>
      <c r="K354" s="45"/>
      <c r="L354" s="46"/>
      <c r="M354" s="45"/>
      <c r="N354" s="45"/>
      <c r="O354" s="45"/>
      <c r="P354" s="47"/>
      <c r="Q354" s="45"/>
      <c r="R354" s="45"/>
      <c r="S354" s="45"/>
      <c r="T354" s="45"/>
      <c r="U354" s="45"/>
      <c r="V354" s="45"/>
      <c r="W354" s="45"/>
      <c r="X354" s="45"/>
      <c r="Y354" s="45"/>
      <c r="Z354" s="48" t="s">
        <v>642</v>
      </c>
      <c r="AA354" s="45" t="s">
        <v>642</v>
      </c>
      <c r="AB354" s="45">
        <v>0</v>
      </c>
      <c r="AD354"/>
    </row>
    <row r="355" spans="1:30" ht="12.75" customHeight="1">
      <c r="A355" s="45"/>
      <c r="B355" s="45"/>
      <c r="C355" s="45"/>
      <c r="D355" s="45"/>
      <c r="E355" s="45"/>
      <c r="F355" s="45"/>
      <c r="G355" s="45"/>
      <c r="H355" s="45"/>
      <c r="I355" s="45"/>
      <c r="J355" s="45"/>
      <c r="K355" s="45"/>
      <c r="L355" s="46"/>
      <c r="M355" s="45"/>
      <c r="N355" s="45"/>
      <c r="O355" s="45"/>
      <c r="P355" s="47"/>
      <c r="Q355" s="45"/>
      <c r="R355" s="45"/>
      <c r="S355" s="45"/>
      <c r="T355" s="45"/>
      <c r="U355" s="45"/>
      <c r="V355" s="45"/>
      <c r="W355" s="45"/>
      <c r="X355" s="45"/>
      <c r="Y355" s="45"/>
      <c r="Z355" s="48" t="s">
        <v>642</v>
      </c>
      <c r="AA355" s="45" t="s">
        <v>642</v>
      </c>
      <c r="AB355" s="45">
        <v>0</v>
      </c>
      <c r="AD355"/>
    </row>
    <row r="356" spans="1:30" ht="12.75" customHeight="1">
      <c r="A356" s="45"/>
      <c r="B356" s="45"/>
      <c r="C356" s="45"/>
      <c r="D356" s="45"/>
      <c r="E356" s="45"/>
      <c r="F356" s="45"/>
      <c r="G356" s="45"/>
      <c r="H356" s="45"/>
      <c r="I356" s="45"/>
      <c r="J356" s="45"/>
      <c r="K356" s="45"/>
      <c r="L356" s="46"/>
      <c r="M356" s="45"/>
      <c r="N356" s="45"/>
      <c r="O356" s="45"/>
      <c r="P356" s="47"/>
      <c r="Q356" s="45"/>
      <c r="R356" s="45"/>
      <c r="S356" s="45"/>
      <c r="T356" s="45"/>
      <c r="U356" s="45"/>
      <c r="V356" s="45"/>
      <c r="W356" s="45"/>
      <c r="X356" s="45"/>
      <c r="Y356" s="45"/>
      <c r="Z356" s="48" t="s">
        <v>642</v>
      </c>
      <c r="AA356" s="45" t="s">
        <v>642</v>
      </c>
      <c r="AB356" s="45">
        <v>0</v>
      </c>
      <c r="AD356"/>
    </row>
    <row r="357" spans="1:30" ht="12.75" customHeight="1">
      <c r="A357" s="45"/>
      <c r="B357" s="45"/>
      <c r="C357" s="45"/>
      <c r="D357" s="45"/>
      <c r="E357" s="45"/>
      <c r="F357" s="45"/>
      <c r="G357" s="45"/>
      <c r="H357" s="45"/>
      <c r="I357" s="45"/>
      <c r="J357" s="45"/>
      <c r="K357" s="45"/>
      <c r="L357" s="46"/>
      <c r="M357" s="45"/>
      <c r="N357" s="45"/>
      <c r="O357" s="45"/>
      <c r="P357" s="47"/>
      <c r="Q357" s="45"/>
      <c r="R357" s="45"/>
      <c r="S357" s="45"/>
      <c r="T357" s="45"/>
      <c r="U357" s="45"/>
      <c r="V357" s="45"/>
      <c r="W357" s="45"/>
      <c r="X357" s="45"/>
      <c r="Y357" s="45"/>
      <c r="Z357" s="48" t="s">
        <v>642</v>
      </c>
      <c r="AA357" s="45" t="s">
        <v>642</v>
      </c>
      <c r="AB357" s="45">
        <v>0</v>
      </c>
      <c r="AD357"/>
    </row>
    <row r="358" spans="1:30" ht="12.75" customHeight="1">
      <c r="A358" s="45"/>
      <c r="B358" s="45"/>
      <c r="C358" s="45"/>
      <c r="D358" s="45"/>
      <c r="E358" s="45"/>
      <c r="F358" s="45"/>
      <c r="G358" s="45"/>
      <c r="H358" s="45"/>
      <c r="I358" s="45"/>
      <c r="J358" s="45"/>
      <c r="K358" s="45"/>
      <c r="L358" s="46"/>
      <c r="M358" s="45"/>
      <c r="N358" s="45"/>
      <c r="O358" s="45"/>
      <c r="P358" s="47"/>
      <c r="Q358" s="45"/>
      <c r="R358" s="45"/>
      <c r="S358" s="45"/>
      <c r="T358" s="45"/>
      <c r="U358" s="45"/>
      <c r="V358" s="45"/>
      <c r="W358" s="45"/>
      <c r="X358" s="45"/>
      <c r="Y358" s="45"/>
      <c r="Z358" s="48" t="s">
        <v>642</v>
      </c>
      <c r="AA358" s="45" t="s">
        <v>642</v>
      </c>
      <c r="AB358" s="45">
        <v>0</v>
      </c>
      <c r="AD358"/>
    </row>
    <row r="359" spans="1:30" ht="12.75" customHeight="1">
      <c r="A359" s="45"/>
      <c r="B359" s="45"/>
      <c r="C359" s="45"/>
      <c r="D359" s="45"/>
      <c r="E359" s="45"/>
      <c r="F359" s="45"/>
      <c r="G359" s="45"/>
      <c r="H359" s="45"/>
      <c r="I359" s="45"/>
      <c r="J359" s="45"/>
      <c r="K359" s="45"/>
      <c r="L359" s="46"/>
      <c r="M359" s="45"/>
      <c r="N359" s="45"/>
      <c r="O359" s="45"/>
      <c r="P359" s="47"/>
      <c r="Q359" s="45"/>
      <c r="R359" s="45"/>
      <c r="S359" s="45"/>
      <c r="T359" s="45"/>
      <c r="U359" s="45"/>
      <c r="V359" s="45"/>
      <c r="W359" s="45"/>
      <c r="X359" s="45"/>
      <c r="Y359" s="45"/>
      <c r="Z359" s="48" t="s">
        <v>642</v>
      </c>
      <c r="AA359" s="45" t="s">
        <v>642</v>
      </c>
      <c r="AB359" s="45">
        <v>0</v>
      </c>
      <c r="AD359"/>
    </row>
    <row r="360" spans="1:30" ht="12.75" customHeight="1">
      <c r="A360" s="45"/>
      <c r="B360" s="45"/>
      <c r="C360" s="45"/>
      <c r="D360" s="45"/>
      <c r="E360" s="45"/>
      <c r="F360" s="45"/>
      <c r="G360" s="45"/>
      <c r="H360" s="45"/>
      <c r="I360" s="45"/>
      <c r="J360" s="45"/>
      <c r="K360" s="45"/>
      <c r="L360" s="46"/>
      <c r="M360" s="45"/>
      <c r="N360" s="45"/>
      <c r="O360" s="45"/>
      <c r="P360" s="47"/>
      <c r="Q360" s="45"/>
      <c r="R360" s="45"/>
      <c r="S360" s="45"/>
      <c r="T360" s="45"/>
      <c r="U360" s="45"/>
      <c r="V360" s="45"/>
      <c r="W360" s="45"/>
      <c r="X360" s="45"/>
      <c r="Y360" s="45"/>
      <c r="Z360" s="48" t="s">
        <v>642</v>
      </c>
      <c r="AA360" s="45" t="s">
        <v>642</v>
      </c>
      <c r="AB360" s="45">
        <v>0</v>
      </c>
      <c r="AD360"/>
    </row>
    <row r="361" spans="1:30" ht="12.75" customHeight="1">
      <c r="A361" s="45"/>
      <c r="B361" s="45"/>
      <c r="C361" s="45"/>
      <c r="D361" s="45"/>
      <c r="E361" s="45"/>
      <c r="F361" s="45"/>
      <c r="G361" s="45"/>
      <c r="H361" s="45"/>
      <c r="I361" s="45"/>
      <c r="J361" s="45"/>
      <c r="K361" s="45"/>
      <c r="L361" s="46"/>
      <c r="M361" s="45"/>
      <c r="N361" s="45"/>
      <c r="O361" s="45"/>
      <c r="P361" s="47"/>
      <c r="Q361" s="45"/>
      <c r="R361" s="45"/>
      <c r="S361" s="45"/>
      <c r="T361" s="45"/>
      <c r="U361" s="45"/>
      <c r="V361" s="45"/>
      <c r="W361" s="45"/>
      <c r="X361" s="45"/>
      <c r="Y361" s="45"/>
      <c r="Z361" s="48" t="s">
        <v>642</v>
      </c>
      <c r="AA361" s="45" t="s">
        <v>642</v>
      </c>
      <c r="AB361" s="45">
        <v>0</v>
      </c>
      <c r="AD361"/>
    </row>
    <row r="362" spans="1:30" ht="12.75" customHeight="1">
      <c r="A362" s="45"/>
      <c r="B362" s="45"/>
      <c r="C362" s="45"/>
      <c r="D362" s="45"/>
      <c r="E362" s="45"/>
      <c r="F362" s="45"/>
      <c r="G362" s="45"/>
      <c r="H362" s="45"/>
      <c r="I362" s="45"/>
      <c r="J362" s="45"/>
      <c r="K362" s="45"/>
      <c r="L362" s="46"/>
      <c r="M362" s="45"/>
      <c r="N362" s="45"/>
      <c r="O362" s="45"/>
      <c r="P362" s="47"/>
      <c r="Q362" s="45"/>
      <c r="R362" s="45"/>
      <c r="S362" s="45"/>
      <c r="T362" s="45"/>
      <c r="U362" s="45"/>
      <c r="V362" s="45"/>
      <c r="W362" s="45"/>
      <c r="X362" s="45"/>
      <c r="Y362" s="45"/>
      <c r="Z362" s="48" t="s">
        <v>642</v>
      </c>
      <c r="AA362" s="45" t="s">
        <v>642</v>
      </c>
      <c r="AB362" s="45">
        <v>0</v>
      </c>
      <c r="AD362"/>
    </row>
    <row r="363" spans="1:30" ht="12.75" customHeight="1">
      <c r="A363" s="45"/>
      <c r="B363" s="45"/>
      <c r="C363" s="45"/>
      <c r="D363" s="45"/>
      <c r="E363" s="45"/>
      <c r="F363" s="45"/>
      <c r="G363" s="45"/>
      <c r="H363" s="45"/>
      <c r="I363" s="45"/>
      <c r="J363" s="45"/>
      <c r="K363" s="45"/>
      <c r="L363" s="46"/>
      <c r="M363" s="45"/>
      <c r="N363" s="45"/>
      <c r="O363" s="45"/>
      <c r="P363" s="47"/>
      <c r="Q363" s="45"/>
      <c r="R363" s="45"/>
      <c r="S363" s="45"/>
      <c r="T363" s="45"/>
      <c r="U363" s="45"/>
      <c r="V363" s="45"/>
      <c r="W363" s="45"/>
      <c r="X363" s="45"/>
      <c r="Y363" s="45"/>
      <c r="Z363" s="48" t="s">
        <v>642</v>
      </c>
      <c r="AA363" s="45" t="s">
        <v>642</v>
      </c>
      <c r="AB363" s="45">
        <v>0</v>
      </c>
      <c r="AD363"/>
    </row>
    <row r="364" spans="1:30" ht="12.75" customHeight="1">
      <c r="A364" s="45"/>
      <c r="B364" s="45"/>
      <c r="C364" s="45"/>
      <c r="D364" s="45"/>
      <c r="E364" s="45"/>
      <c r="F364" s="45"/>
      <c r="G364" s="45"/>
      <c r="H364" s="45"/>
      <c r="I364" s="45"/>
      <c r="J364" s="45"/>
      <c r="K364" s="45"/>
      <c r="L364" s="46"/>
      <c r="M364" s="45"/>
      <c r="N364" s="45"/>
      <c r="O364" s="45"/>
      <c r="P364" s="47"/>
      <c r="Q364" s="45"/>
      <c r="R364" s="45"/>
      <c r="S364" s="45"/>
      <c r="T364" s="45"/>
      <c r="U364" s="45"/>
      <c r="V364" s="45"/>
      <c r="W364" s="45"/>
      <c r="X364" s="45"/>
      <c r="Y364" s="45"/>
      <c r="Z364" s="48" t="s">
        <v>642</v>
      </c>
      <c r="AA364" s="45" t="s">
        <v>642</v>
      </c>
      <c r="AB364" s="45">
        <v>0</v>
      </c>
      <c r="AD364"/>
    </row>
    <row r="365" spans="1:30" ht="12.75" customHeight="1">
      <c r="A365" s="45"/>
      <c r="B365" s="45"/>
      <c r="C365" s="45"/>
      <c r="D365" s="45"/>
      <c r="E365" s="45"/>
      <c r="F365" s="45"/>
      <c r="G365" s="45"/>
      <c r="H365" s="45"/>
      <c r="I365" s="45"/>
      <c r="J365" s="45"/>
      <c r="K365" s="45"/>
      <c r="L365" s="46"/>
      <c r="M365" s="45"/>
      <c r="N365" s="45"/>
      <c r="O365" s="45"/>
      <c r="P365" s="47"/>
      <c r="Q365" s="45"/>
      <c r="R365" s="45"/>
      <c r="S365" s="45"/>
      <c r="T365" s="45"/>
      <c r="U365" s="45"/>
      <c r="V365" s="45"/>
      <c r="W365" s="45"/>
      <c r="X365" s="45"/>
      <c r="Y365" s="45"/>
      <c r="Z365" s="48" t="s">
        <v>642</v>
      </c>
      <c r="AA365" s="45" t="s">
        <v>642</v>
      </c>
      <c r="AB365" s="45">
        <v>0</v>
      </c>
      <c r="AD365"/>
    </row>
    <row r="366" spans="1:30" ht="12.75" customHeight="1">
      <c r="A366" s="45"/>
      <c r="B366" s="45"/>
      <c r="C366" s="45"/>
      <c r="D366" s="45"/>
      <c r="E366" s="45"/>
      <c r="F366" s="45"/>
      <c r="G366" s="45"/>
      <c r="H366" s="45"/>
      <c r="I366" s="45"/>
      <c r="J366" s="45"/>
      <c r="K366" s="45"/>
      <c r="L366" s="46"/>
      <c r="M366" s="45"/>
      <c r="N366" s="45"/>
      <c r="O366" s="45"/>
      <c r="P366" s="47"/>
      <c r="Q366" s="45"/>
      <c r="R366" s="45"/>
      <c r="S366" s="45"/>
      <c r="T366" s="45"/>
      <c r="U366" s="45"/>
      <c r="V366" s="45"/>
      <c r="W366" s="45"/>
      <c r="X366" s="45"/>
      <c r="Y366" s="45"/>
      <c r="Z366" s="48" t="s">
        <v>642</v>
      </c>
      <c r="AA366" s="45" t="s">
        <v>642</v>
      </c>
      <c r="AB366" s="45">
        <v>0</v>
      </c>
      <c r="AD366"/>
    </row>
    <row r="367" spans="1:30" ht="12.75" customHeight="1">
      <c r="A367" s="45"/>
      <c r="B367" s="45"/>
      <c r="C367" s="45"/>
      <c r="D367" s="45"/>
      <c r="E367" s="45"/>
      <c r="F367" s="45"/>
      <c r="G367" s="45"/>
      <c r="H367" s="45"/>
      <c r="I367" s="45"/>
      <c r="J367" s="45"/>
      <c r="K367" s="45"/>
      <c r="L367" s="46"/>
      <c r="M367" s="45"/>
      <c r="N367" s="45"/>
      <c r="O367" s="45"/>
      <c r="P367" s="47"/>
      <c r="Q367" s="45"/>
      <c r="R367" s="45"/>
      <c r="S367" s="45"/>
      <c r="T367" s="45"/>
      <c r="U367" s="45"/>
      <c r="V367" s="45"/>
      <c r="W367" s="45"/>
      <c r="X367" s="45"/>
      <c r="Y367" s="45"/>
      <c r="Z367" s="48" t="s">
        <v>642</v>
      </c>
      <c r="AA367" s="45" t="s">
        <v>642</v>
      </c>
      <c r="AB367" s="45">
        <v>0</v>
      </c>
      <c r="AD367"/>
    </row>
    <row r="368" spans="1:30" ht="12.75" customHeight="1">
      <c r="A368" s="45"/>
      <c r="B368" s="45"/>
      <c r="C368" s="45"/>
      <c r="D368" s="45"/>
      <c r="E368" s="45"/>
      <c r="F368" s="45"/>
      <c r="G368" s="45"/>
      <c r="H368" s="45"/>
      <c r="I368" s="45"/>
      <c r="J368" s="45"/>
      <c r="K368" s="45"/>
      <c r="L368" s="46"/>
      <c r="M368" s="45"/>
      <c r="N368" s="45"/>
      <c r="O368" s="45"/>
      <c r="P368" s="47"/>
      <c r="Q368" s="45"/>
      <c r="R368" s="45"/>
      <c r="S368" s="45"/>
      <c r="T368" s="45"/>
      <c r="U368" s="45"/>
      <c r="V368" s="45"/>
      <c r="W368" s="45"/>
      <c r="X368" s="45"/>
      <c r="Y368" s="45"/>
      <c r="Z368" s="48" t="s">
        <v>642</v>
      </c>
      <c r="AA368" s="45" t="s">
        <v>642</v>
      </c>
      <c r="AB368" s="45">
        <v>0</v>
      </c>
      <c r="AD368"/>
    </row>
    <row r="369" spans="1:30" ht="12.75" customHeight="1">
      <c r="A369" s="45"/>
      <c r="B369" s="45"/>
      <c r="C369" s="45"/>
      <c r="D369" s="45"/>
      <c r="E369" s="45"/>
      <c r="F369" s="45"/>
      <c r="G369" s="45"/>
      <c r="H369" s="45"/>
      <c r="I369" s="45"/>
      <c r="J369" s="45"/>
      <c r="K369" s="45"/>
      <c r="L369" s="46"/>
      <c r="M369" s="45"/>
      <c r="N369" s="45"/>
      <c r="O369" s="45"/>
      <c r="P369" s="47"/>
      <c r="Q369" s="45"/>
      <c r="R369" s="45"/>
      <c r="S369" s="45"/>
      <c r="T369" s="45"/>
      <c r="U369" s="45"/>
      <c r="V369" s="45"/>
      <c r="W369" s="45"/>
      <c r="X369" s="45"/>
      <c r="Y369" s="45"/>
      <c r="Z369" s="48" t="s">
        <v>642</v>
      </c>
      <c r="AA369" s="45" t="s">
        <v>642</v>
      </c>
      <c r="AB369" s="45">
        <v>0</v>
      </c>
      <c r="AD369"/>
    </row>
    <row r="370" spans="1:30" ht="12.75" customHeight="1">
      <c r="A370" s="45"/>
      <c r="B370" s="45"/>
      <c r="C370" s="45"/>
      <c r="D370" s="45"/>
      <c r="E370" s="45"/>
      <c r="F370" s="45"/>
      <c r="G370" s="45"/>
      <c r="H370" s="45"/>
      <c r="I370" s="45"/>
      <c r="J370" s="45"/>
      <c r="K370" s="45"/>
      <c r="L370" s="46"/>
      <c r="M370" s="45"/>
      <c r="N370" s="45"/>
      <c r="O370" s="45"/>
      <c r="P370" s="47"/>
      <c r="Q370" s="45"/>
      <c r="R370" s="45"/>
      <c r="S370" s="45"/>
      <c r="T370" s="45"/>
      <c r="U370" s="45"/>
      <c r="V370" s="45"/>
      <c r="W370" s="45"/>
      <c r="X370" s="45"/>
      <c r="Y370" s="45"/>
      <c r="Z370" s="48" t="s">
        <v>642</v>
      </c>
      <c r="AA370" s="45" t="s">
        <v>642</v>
      </c>
      <c r="AB370" s="45">
        <v>0</v>
      </c>
      <c r="AD370"/>
    </row>
    <row r="371" spans="1:30" ht="12.75" customHeight="1">
      <c r="A371" s="45"/>
      <c r="B371" s="45"/>
      <c r="C371" s="45"/>
      <c r="D371" s="45"/>
      <c r="E371" s="45"/>
      <c r="F371" s="45"/>
      <c r="G371" s="45"/>
      <c r="H371" s="45"/>
      <c r="I371" s="45"/>
      <c r="J371" s="45"/>
      <c r="K371" s="45"/>
      <c r="L371" s="46"/>
      <c r="M371" s="45"/>
      <c r="N371" s="45"/>
      <c r="O371" s="45"/>
      <c r="P371" s="47"/>
      <c r="Q371" s="45"/>
      <c r="R371" s="45"/>
      <c r="S371" s="45"/>
      <c r="T371" s="45"/>
      <c r="U371" s="45"/>
      <c r="V371" s="45"/>
      <c r="W371" s="45"/>
      <c r="X371" s="45"/>
      <c r="Y371" s="45"/>
      <c r="Z371" s="48" t="s">
        <v>642</v>
      </c>
      <c r="AA371" s="45" t="s">
        <v>642</v>
      </c>
      <c r="AB371" s="45">
        <v>0</v>
      </c>
      <c r="AD371"/>
    </row>
    <row r="372" spans="1:30" ht="12.75" customHeight="1">
      <c r="A372" s="45"/>
      <c r="B372" s="45"/>
      <c r="C372" s="45"/>
      <c r="D372" s="45"/>
      <c r="E372" s="45"/>
      <c r="F372" s="45"/>
      <c r="G372" s="45"/>
      <c r="H372" s="45"/>
      <c r="I372" s="45"/>
      <c r="J372" s="45"/>
      <c r="K372" s="45"/>
      <c r="L372" s="46"/>
      <c r="M372" s="45"/>
      <c r="N372" s="45"/>
      <c r="O372" s="45"/>
      <c r="P372" s="47"/>
      <c r="Q372" s="45"/>
      <c r="R372" s="45"/>
      <c r="S372" s="45"/>
      <c r="T372" s="45"/>
      <c r="U372" s="45"/>
      <c r="V372" s="45"/>
      <c r="W372" s="45"/>
      <c r="X372" s="45"/>
      <c r="Y372" s="45"/>
      <c r="Z372" s="48" t="s">
        <v>642</v>
      </c>
      <c r="AA372" s="45" t="s">
        <v>642</v>
      </c>
      <c r="AB372" s="45">
        <v>0</v>
      </c>
      <c r="AD372"/>
    </row>
    <row r="373" spans="1:30" ht="12.75" customHeight="1">
      <c r="A373" s="45"/>
      <c r="B373" s="45"/>
      <c r="C373" s="45"/>
      <c r="D373" s="45"/>
      <c r="E373" s="45"/>
      <c r="F373" s="45"/>
      <c r="G373" s="45"/>
      <c r="H373" s="45"/>
      <c r="I373" s="45"/>
      <c r="J373" s="45"/>
      <c r="K373" s="45"/>
      <c r="L373" s="46"/>
      <c r="M373" s="45"/>
      <c r="N373" s="45"/>
      <c r="O373" s="45"/>
      <c r="P373" s="47"/>
      <c r="Q373" s="45"/>
      <c r="R373" s="45"/>
      <c r="S373" s="45"/>
      <c r="T373" s="45"/>
      <c r="U373" s="45"/>
      <c r="V373" s="45"/>
      <c r="W373" s="45"/>
      <c r="X373" s="45"/>
      <c r="Y373" s="45"/>
      <c r="Z373" s="48" t="s">
        <v>642</v>
      </c>
      <c r="AA373" s="45" t="s">
        <v>642</v>
      </c>
      <c r="AB373" s="45">
        <v>0</v>
      </c>
      <c r="AD373"/>
    </row>
    <row r="374" spans="1:30" ht="12.75" customHeight="1">
      <c r="A374" s="45"/>
      <c r="B374" s="45"/>
      <c r="C374" s="45"/>
      <c r="D374" s="45"/>
      <c r="E374" s="45"/>
      <c r="F374" s="45"/>
      <c r="G374" s="45"/>
      <c r="H374" s="45"/>
      <c r="I374" s="45"/>
      <c r="J374" s="45"/>
      <c r="K374" s="45"/>
      <c r="L374" s="46"/>
      <c r="M374" s="45"/>
      <c r="N374" s="45"/>
      <c r="O374" s="45"/>
      <c r="P374" s="47"/>
      <c r="Q374" s="45"/>
      <c r="R374" s="45"/>
      <c r="S374" s="45"/>
      <c r="T374" s="45"/>
      <c r="U374" s="45"/>
      <c r="V374" s="45"/>
      <c r="W374" s="45"/>
      <c r="X374" s="45"/>
      <c r="Y374" s="45"/>
      <c r="Z374" s="48" t="s">
        <v>642</v>
      </c>
      <c r="AA374" s="45" t="s">
        <v>642</v>
      </c>
      <c r="AB374" s="45">
        <v>0</v>
      </c>
      <c r="AD374"/>
    </row>
    <row r="375" spans="1:30" ht="12.75" customHeight="1">
      <c r="A375" s="45"/>
      <c r="B375" s="45"/>
      <c r="C375" s="45"/>
      <c r="D375" s="45"/>
      <c r="E375" s="45"/>
      <c r="F375" s="45"/>
      <c r="G375" s="45"/>
      <c r="H375" s="45"/>
      <c r="I375" s="45"/>
      <c r="J375" s="45"/>
      <c r="K375" s="45"/>
      <c r="L375" s="46"/>
      <c r="M375" s="45"/>
      <c r="N375" s="45"/>
      <c r="O375" s="45"/>
      <c r="P375" s="47"/>
      <c r="Q375" s="45"/>
      <c r="R375" s="45"/>
      <c r="S375" s="45"/>
      <c r="T375" s="45"/>
      <c r="U375" s="45"/>
      <c r="V375" s="45"/>
      <c r="W375" s="45"/>
      <c r="X375" s="45"/>
      <c r="Y375" s="45"/>
      <c r="Z375" s="48" t="s">
        <v>642</v>
      </c>
      <c r="AA375" s="45" t="s">
        <v>642</v>
      </c>
      <c r="AB375" s="45">
        <v>0</v>
      </c>
      <c r="AD375"/>
    </row>
    <row r="376" spans="1:30" ht="12.75" customHeight="1">
      <c r="A376" s="45"/>
      <c r="B376" s="45"/>
      <c r="C376" s="45"/>
      <c r="D376" s="45"/>
      <c r="E376" s="45"/>
      <c r="F376" s="45"/>
      <c r="G376" s="45"/>
      <c r="H376" s="45"/>
      <c r="I376" s="45"/>
      <c r="J376" s="45"/>
      <c r="K376" s="45"/>
      <c r="L376" s="46"/>
      <c r="M376" s="45"/>
      <c r="N376" s="45"/>
      <c r="O376" s="45"/>
      <c r="P376" s="47"/>
      <c r="Q376" s="45"/>
      <c r="R376" s="45"/>
      <c r="S376" s="45"/>
      <c r="T376" s="45"/>
      <c r="U376" s="45"/>
      <c r="V376" s="45"/>
      <c r="W376" s="45"/>
      <c r="X376" s="45"/>
      <c r="Y376" s="45"/>
      <c r="Z376" s="48" t="s">
        <v>642</v>
      </c>
      <c r="AA376" s="45" t="s">
        <v>642</v>
      </c>
      <c r="AB376" s="45">
        <v>0</v>
      </c>
      <c r="AD376"/>
    </row>
    <row r="377" spans="1:30" ht="12.75" customHeight="1">
      <c r="A377" s="45"/>
      <c r="B377" s="45"/>
      <c r="C377" s="45"/>
      <c r="D377" s="45"/>
      <c r="E377" s="45"/>
      <c r="F377" s="45"/>
      <c r="G377" s="45"/>
      <c r="H377" s="45"/>
      <c r="I377" s="45"/>
      <c r="J377" s="45"/>
      <c r="K377" s="45"/>
      <c r="L377" s="46"/>
      <c r="M377" s="45"/>
      <c r="N377" s="45"/>
      <c r="O377" s="45"/>
      <c r="P377" s="47"/>
      <c r="Q377" s="45"/>
      <c r="R377" s="45"/>
      <c r="S377" s="45"/>
      <c r="T377" s="45"/>
      <c r="U377" s="45"/>
      <c r="V377" s="45"/>
      <c r="W377" s="45"/>
      <c r="X377" s="45"/>
      <c r="Y377" s="45"/>
      <c r="Z377" s="48" t="s">
        <v>642</v>
      </c>
      <c r="AA377" s="45" t="s">
        <v>642</v>
      </c>
      <c r="AB377" s="45">
        <v>0</v>
      </c>
      <c r="AD377"/>
    </row>
    <row r="378" spans="1:30" ht="12.75" customHeight="1">
      <c r="A378" s="45"/>
      <c r="B378" s="45"/>
      <c r="C378" s="45"/>
      <c r="D378" s="45"/>
      <c r="E378" s="45"/>
      <c r="F378" s="45"/>
      <c r="G378" s="45"/>
      <c r="H378" s="45"/>
      <c r="I378" s="45"/>
      <c r="J378" s="45"/>
      <c r="K378" s="45"/>
      <c r="L378" s="46"/>
      <c r="M378" s="45"/>
      <c r="N378" s="45"/>
      <c r="O378" s="45"/>
      <c r="P378" s="47"/>
      <c r="Q378" s="45"/>
      <c r="R378" s="45"/>
      <c r="S378" s="45"/>
      <c r="T378" s="45"/>
      <c r="U378" s="45"/>
      <c r="V378" s="45"/>
      <c r="W378" s="45"/>
      <c r="X378" s="45"/>
      <c r="Y378" s="45"/>
      <c r="Z378" s="48" t="s">
        <v>642</v>
      </c>
      <c r="AA378" s="45" t="s">
        <v>642</v>
      </c>
      <c r="AB378" s="45">
        <v>0</v>
      </c>
      <c r="AD378"/>
    </row>
    <row r="379" spans="1:30" ht="12.75" customHeight="1">
      <c r="A379" s="45"/>
      <c r="B379" s="45"/>
      <c r="C379" s="45"/>
      <c r="D379" s="45"/>
      <c r="E379" s="45"/>
      <c r="F379" s="45"/>
      <c r="G379" s="45"/>
      <c r="H379" s="45"/>
      <c r="I379" s="45"/>
      <c r="J379" s="45"/>
      <c r="K379" s="45"/>
      <c r="L379" s="46"/>
      <c r="M379" s="45"/>
      <c r="N379" s="45"/>
      <c r="O379" s="45"/>
      <c r="P379" s="47"/>
      <c r="Q379" s="45"/>
      <c r="R379" s="45"/>
      <c r="S379" s="45"/>
      <c r="T379" s="45"/>
      <c r="U379" s="45"/>
      <c r="V379" s="45"/>
      <c r="W379" s="45"/>
      <c r="X379" s="45"/>
      <c r="Y379" s="45"/>
      <c r="Z379" s="48" t="s">
        <v>642</v>
      </c>
      <c r="AA379" s="45" t="s">
        <v>642</v>
      </c>
      <c r="AB379" s="45">
        <v>0</v>
      </c>
      <c r="AD379"/>
    </row>
    <row r="380" spans="1:30" ht="12.75" customHeight="1">
      <c r="A380" s="45"/>
      <c r="B380" s="45"/>
      <c r="C380" s="45"/>
      <c r="D380" s="45"/>
      <c r="E380" s="45"/>
      <c r="F380" s="45"/>
      <c r="G380" s="45"/>
      <c r="H380" s="45"/>
      <c r="I380" s="45"/>
      <c r="J380" s="45"/>
      <c r="K380" s="45"/>
      <c r="L380" s="46"/>
      <c r="M380" s="45"/>
      <c r="N380" s="45"/>
      <c r="O380" s="45"/>
      <c r="P380" s="47"/>
      <c r="Q380" s="45"/>
      <c r="R380" s="45"/>
      <c r="S380" s="45"/>
      <c r="T380" s="45"/>
      <c r="U380" s="45"/>
      <c r="V380" s="45"/>
      <c r="W380" s="45"/>
      <c r="X380" s="45"/>
      <c r="Y380" s="45"/>
      <c r="Z380" s="48" t="s">
        <v>642</v>
      </c>
      <c r="AA380" s="45" t="s">
        <v>642</v>
      </c>
      <c r="AB380" s="45">
        <v>0</v>
      </c>
      <c r="AD380"/>
    </row>
    <row r="381" spans="1:30" ht="12.75" customHeight="1">
      <c r="A381" s="45"/>
      <c r="B381" s="45"/>
      <c r="C381" s="45"/>
      <c r="D381" s="45"/>
      <c r="E381" s="45"/>
      <c r="F381" s="45"/>
      <c r="G381" s="45"/>
      <c r="H381" s="45"/>
      <c r="I381" s="45"/>
      <c r="J381" s="45"/>
      <c r="K381" s="45"/>
      <c r="L381" s="46"/>
      <c r="M381" s="45"/>
      <c r="N381" s="45"/>
      <c r="O381" s="45"/>
      <c r="P381" s="47"/>
      <c r="Q381" s="45"/>
      <c r="R381" s="45"/>
      <c r="S381" s="45"/>
      <c r="T381" s="45"/>
      <c r="U381" s="45"/>
      <c r="V381" s="45"/>
      <c r="W381" s="45"/>
      <c r="X381" s="45"/>
      <c r="Y381" s="45"/>
      <c r="Z381" s="48" t="s">
        <v>642</v>
      </c>
      <c r="AA381" s="45" t="s">
        <v>642</v>
      </c>
      <c r="AB381" s="45">
        <v>0</v>
      </c>
      <c r="AD381"/>
    </row>
    <row r="382" spans="1:30" ht="12.75" customHeight="1">
      <c r="A382" s="45"/>
      <c r="B382" s="45"/>
      <c r="C382" s="45"/>
      <c r="D382" s="45"/>
      <c r="E382" s="45"/>
      <c r="F382" s="45"/>
      <c r="G382" s="45"/>
      <c r="H382" s="45"/>
      <c r="I382" s="45"/>
      <c r="J382" s="45"/>
      <c r="K382" s="45"/>
      <c r="L382" s="46"/>
      <c r="M382" s="45"/>
      <c r="N382" s="45"/>
      <c r="O382" s="45"/>
      <c r="P382" s="47"/>
      <c r="Q382" s="45"/>
      <c r="R382" s="45"/>
      <c r="S382" s="45"/>
      <c r="T382" s="45"/>
      <c r="U382" s="45"/>
      <c r="V382" s="45"/>
      <c r="W382" s="45"/>
      <c r="X382" s="45"/>
      <c r="Y382" s="45"/>
      <c r="Z382" s="48" t="s">
        <v>642</v>
      </c>
      <c r="AA382" s="45" t="s">
        <v>642</v>
      </c>
      <c r="AB382" s="45">
        <v>0</v>
      </c>
      <c r="AD382"/>
    </row>
    <row r="383" spans="1:30" ht="12.75" customHeight="1">
      <c r="A383" s="45"/>
      <c r="B383" s="45"/>
      <c r="C383" s="45"/>
      <c r="D383" s="45"/>
      <c r="E383" s="45"/>
      <c r="F383" s="45"/>
      <c r="G383" s="45"/>
      <c r="H383" s="45"/>
      <c r="I383" s="45"/>
      <c r="J383" s="45"/>
      <c r="K383" s="45"/>
      <c r="L383" s="46"/>
      <c r="M383" s="45"/>
      <c r="N383" s="45"/>
      <c r="O383" s="45"/>
      <c r="P383" s="47"/>
      <c r="Q383" s="45"/>
      <c r="R383" s="45"/>
      <c r="S383" s="45"/>
      <c r="T383" s="45"/>
      <c r="U383" s="45"/>
      <c r="V383" s="45"/>
      <c r="W383" s="45"/>
      <c r="X383" s="45"/>
      <c r="Y383" s="45"/>
      <c r="Z383" s="48" t="s">
        <v>642</v>
      </c>
      <c r="AA383" s="45" t="s">
        <v>642</v>
      </c>
      <c r="AB383" s="45">
        <v>0</v>
      </c>
      <c r="AD383"/>
    </row>
    <row r="384" spans="1:30" ht="12.75" customHeight="1">
      <c r="A384" s="45"/>
      <c r="B384" s="45"/>
      <c r="C384" s="45"/>
      <c r="D384" s="45"/>
      <c r="E384" s="45"/>
      <c r="F384" s="45"/>
      <c r="G384" s="45"/>
      <c r="H384" s="45"/>
      <c r="I384" s="45"/>
      <c r="J384" s="45"/>
      <c r="K384" s="45"/>
      <c r="L384" s="46"/>
      <c r="M384" s="45"/>
      <c r="N384" s="45"/>
      <c r="O384" s="45"/>
      <c r="P384" s="47"/>
      <c r="Q384" s="45"/>
      <c r="R384" s="45"/>
      <c r="S384" s="45"/>
      <c r="T384" s="45"/>
      <c r="U384" s="45"/>
      <c r="V384" s="45"/>
      <c r="W384" s="45"/>
      <c r="X384" s="45"/>
      <c r="Y384" s="45"/>
      <c r="Z384" s="48" t="s">
        <v>642</v>
      </c>
      <c r="AA384" s="45" t="s">
        <v>642</v>
      </c>
      <c r="AB384" s="45">
        <v>0</v>
      </c>
      <c r="AD384"/>
    </row>
    <row r="385" spans="1:30" ht="12.75" customHeight="1">
      <c r="A385" s="45"/>
      <c r="B385" s="45"/>
      <c r="C385" s="45"/>
      <c r="D385" s="45"/>
      <c r="E385" s="45"/>
      <c r="F385" s="45"/>
      <c r="G385" s="45"/>
      <c r="H385" s="45"/>
      <c r="I385" s="45"/>
      <c r="J385" s="45"/>
      <c r="K385" s="45"/>
      <c r="L385" s="46"/>
      <c r="M385" s="45"/>
      <c r="N385" s="45"/>
      <c r="O385" s="45"/>
      <c r="P385" s="47"/>
      <c r="Q385" s="45"/>
      <c r="R385" s="45"/>
      <c r="S385" s="45"/>
      <c r="T385" s="45"/>
      <c r="U385" s="45"/>
      <c r="V385" s="45"/>
      <c r="W385" s="45"/>
      <c r="X385" s="45"/>
      <c r="Y385" s="45"/>
      <c r="Z385" s="48" t="s">
        <v>642</v>
      </c>
      <c r="AA385" s="45" t="s">
        <v>642</v>
      </c>
      <c r="AB385" s="45">
        <v>0</v>
      </c>
      <c r="AD385"/>
    </row>
    <row r="386" spans="1:30" ht="12.75" customHeight="1">
      <c r="A386" s="45"/>
      <c r="B386" s="45"/>
      <c r="C386" s="45"/>
      <c r="D386" s="45"/>
      <c r="E386" s="45"/>
      <c r="F386" s="45"/>
      <c r="G386" s="45"/>
      <c r="H386" s="45"/>
      <c r="I386" s="45"/>
      <c r="J386" s="45"/>
      <c r="K386" s="45"/>
      <c r="L386" s="46"/>
      <c r="M386" s="45"/>
      <c r="N386" s="45"/>
      <c r="O386" s="45"/>
      <c r="P386" s="47"/>
      <c r="Q386" s="45"/>
      <c r="R386" s="45"/>
      <c r="S386" s="45"/>
      <c r="T386" s="45"/>
      <c r="U386" s="45"/>
      <c r="V386" s="45"/>
      <c r="W386" s="45"/>
      <c r="X386" s="45"/>
      <c r="Y386" s="45"/>
      <c r="Z386" s="48" t="s">
        <v>642</v>
      </c>
      <c r="AA386" s="45" t="s">
        <v>642</v>
      </c>
      <c r="AB386" s="45">
        <v>0</v>
      </c>
      <c r="AD386"/>
    </row>
    <row r="387" spans="1:30" ht="12.75" customHeight="1">
      <c r="A387" s="45"/>
      <c r="B387" s="45"/>
      <c r="C387" s="45"/>
      <c r="D387" s="45"/>
      <c r="E387" s="45"/>
      <c r="F387" s="45"/>
      <c r="G387" s="45"/>
      <c r="H387" s="45"/>
      <c r="I387" s="45"/>
      <c r="J387" s="45"/>
      <c r="K387" s="45"/>
      <c r="L387" s="46"/>
      <c r="M387" s="45"/>
      <c r="N387" s="45"/>
      <c r="O387" s="45"/>
      <c r="P387" s="47"/>
      <c r="Q387" s="45"/>
      <c r="R387" s="45"/>
      <c r="S387" s="45"/>
      <c r="T387" s="45"/>
      <c r="U387" s="45"/>
      <c r="V387" s="45"/>
      <c r="W387" s="45"/>
      <c r="X387" s="45"/>
      <c r="Y387" s="45"/>
      <c r="Z387" s="48" t="s">
        <v>642</v>
      </c>
      <c r="AA387" s="45" t="s">
        <v>642</v>
      </c>
      <c r="AB387" s="45">
        <v>0</v>
      </c>
      <c r="AD387"/>
    </row>
    <row r="388" spans="1:30" ht="12.75" customHeight="1">
      <c r="A388" s="45"/>
      <c r="B388" s="45"/>
      <c r="C388" s="45"/>
      <c r="D388" s="45"/>
      <c r="E388" s="45"/>
      <c r="F388" s="45"/>
      <c r="G388" s="45"/>
      <c r="H388" s="45"/>
      <c r="I388" s="45"/>
      <c r="J388" s="45"/>
      <c r="K388" s="45"/>
      <c r="L388" s="46"/>
      <c r="M388" s="45"/>
      <c r="N388" s="45"/>
      <c r="O388" s="45"/>
      <c r="P388" s="47"/>
      <c r="Q388" s="45"/>
      <c r="R388" s="45"/>
      <c r="S388" s="45"/>
      <c r="T388" s="45"/>
      <c r="U388" s="45"/>
      <c r="V388" s="45"/>
      <c r="W388" s="45"/>
      <c r="X388" s="45"/>
      <c r="Y388" s="45"/>
      <c r="Z388" s="48" t="s">
        <v>642</v>
      </c>
      <c r="AA388" s="45" t="s">
        <v>642</v>
      </c>
      <c r="AB388" s="45">
        <v>0</v>
      </c>
      <c r="AD388"/>
    </row>
    <row r="389" spans="1:30" ht="12.75" customHeight="1">
      <c r="A389" s="45"/>
      <c r="B389" s="45"/>
      <c r="C389" s="45"/>
      <c r="D389" s="45"/>
      <c r="E389" s="45"/>
      <c r="F389" s="45"/>
      <c r="G389" s="45"/>
      <c r="H389" s="45"/>
      <c r="I389" s="45"/>
      <c r="J389" s="45"/>
      <c r="K389" s="45"/>
      <c r="L389" s="46"/>
      <c r="M389" s="45"/>
      <c r="N389" s="45"/>
      <c r="O389" s="45"/>
      <c r="P389" s="47"/>
      <c r="Q389" s="45"/>
      <c r="R389" s="45"/>
      <c r="S389" s="45"/>
      <c r="T389" s="45"/>
      <c r="U389" s="45"/>
      <c r="V389" s="45"/>
      <c r="W389" s="45"/>
      <c r="X389" s="45"/>
      <c r="Y389" s="45"/>
      <c r="Z389" s="48" t="s">
        <v>642</v>
      </c>
      <c r="AA389" s="45" t="s">
        <v>642</v>
      </c>
      <c r="AB389" s="45">
        <v>0</v>
      </c>
      <c r="AD389"/>
    </row>
    <row r="390" spans="1:30" ht="12.75" customHeight="1">
      <c r="A390" s="45"/>
      <c r="B390" s="45"/>
      <c r="C390" s="45"/>
      <c r="D390" s="45"/>
      <c r="E390" s="45"/>
      <c r="F390" s="45"/>
      <c r="G390" s="45"/>
      <c r="H390" s="45"/>
      <c r="I390" s="45"/>
      <c r="J390" s="45"/>
      <c r="K390" s="45"/>
      <c r="L390" s="46"/>
      <c r="M390" s="45"/>
      <c r="N390" s="45"/>
      <c r="O390" s="45"/>
      <c r="P390" s="47"/>
      <c r="Q390" s="45"/>
      <c r="R390" s="45"/>
      <c r="S390" s="45"/>
      <c r="T390" s="45"/>
      <c r="U390" s="45"/>
      <c r="V390" s="45"/>
      <c r="W390" s="45"/>
      <c r="X390" s="45"/>
      <c r="Y390" s="45"/>
      <c r="Z390" s="48" t="s">
        <v>642</v>
      </c>
      <c r="AA390" s="45" t="s">
        <v>642</v>
      </c>
      <c r="AB390" s="45">
        <v>0</v>
      </c>
      <c r="AD390"/>
    </row>
    <row r="391" spans="1:30" ht="12.75" customHeight="1">
      <c r="A391" s="45"/>
      <c r="B391" s="45"/>
      <c r="C391" s="45"/>
      <c r="D391" s="45"/>
      <c r="E391" s="45"/>
      <c r="F391" s="45"/>
      <c r="G391" s="45"/>
      <c r="H391" s="45"/>
      <c r="I391" s="45"/>
      <c r="J391" s="45"/>
      <c r="K391" s="45"/>
      <c r="L391" s="46"/>
      <c r="M391" s="45"/>
      <c r="N391" s="45"/>
      <c r="O391" s="45"/>
      <c r="P391" s="47"/>
      <c r="Q391" s="45"/>
      <c r="R391" s="45"/>
      <c r="S391" s="45"/>
      <c r="T391" s="45"/>
      <c r="U391" s="45"/>
      <c r="V391" s="45"/>
      <c r="W391" s="45"/>
      <c r="X391" s="45"/>
      <c r="Y391" s="45"/>
      <c r="Z391" s="48" t="s">
        <v>642</v>
      </c>
      <c r="AA391" s="45" t="s">
        <v>642</v>
      </c>
      <c r="AB391" s="45">
        <v>0</v>
      </c>
      <c r="AD391"/>
    </row>
    <row r="392" spans="1:30" ht="12.75" customHeight="1">
      <c r="A392" s="45"/>
      <c r="B392" s="45"/>
      <c r="C392" s="45"/>
      <c r="D392" s="45"/>
      <c r="E392" s="45"/>
      <c r="F392" s="45"/>
      <c r="G392" s="45"/>
      <c r="H392" s="45"/>
      <c r="I392" s="45"/>
      <c r="J392" s="45"/>
      <c r="K392" s="45"/>
      <c r="L392" s="46"/>
      <c r="M392" s="45"/>
      <c r="N392" s="45"/>
      <c r="O392" s="45"/>
      <c r="P392" s="47"/>
      <c r="Q392" s="45"/>
      <c r="R392" s="45"/>
      <c r="S392" s="45"/>
      <c r="T392" s="45"/>
      <c r="U392" s="45"/>
      <c r="V392" s="45"/>
      <c r="W392" s="45"/>
      <c r="X392" s="45"/>
      <c r="Y392" s="45"/>
      <c r="Z392" s="48" t="s">
        <v>642</v>
      </c>
      <c r="AA392" s="45" t="s">
        <v>642</v>
      </c>
      <c r="AB392" s="45">
        <v>0</v>
      </c>
      <c r="AD392"/>
    </row>
    <row r="393" spans="1:30" ht="12.75" customHeight="1">
      <c r="A393" s="45"/>
      <c r="B393" s="45"/>
      <c r="C393" s="45"/>
      <c r="D393" s="45"/>
      <c r="E393" s="45"/>
      <c r="F393" s="45"/>
      <c r="G393" s="45"/>
      <c r="H393" s="45"/>
      <c r="I393" s="45"/>
      <c r="J393" s="45"/>
      <c r="K393" s="45"/>
      <c r="L393" s="46"/>
      <c r="M393" s="45"/>
      <c r="N393" s="45"/>
      <c r="O393" s="45"/>
      <c r="P393" s="47"/>
      <c r="Q393" s="45"/>
      <c r="R393" s="45"/>
      <c r="S393" s="45"/>
      <c r="T393" s="45"/>
      <c r="U393" s="45"/>
      <c r="V393" s="45"/>
      <c r="W393" s="45"/>
      <c r="X393" s="45"/>
      <c r="Y393" s="45"/>
      <c r="Z393" s="48" t="s">
        <v>642</v>
      </c>
      <c r="AA393" s="45" t="s">
        <v>642</v>
      </c>
      <c r="AB393" s="45">
        <v>0</v>
      </c>
      <c r="AD393"/>
    </row>
    <row r="394" spans="1:30" ht="12.75" customHeight="1">
      <c r="A394" s="45"/>
      <c r="B394" s="45"/>
      <c r="C394" s="45"/>
      <c r="D394" s="45"/>
      <c r="E394" s="45"/>
      <c r="F394" s="45"/>
      <c r="G394" s="45"/>
      <c r="H394" s="45"/>
      <c r="I394" s="45"/>
      <c r="J394" s="45"/>
      <c r="K394" s="45"/>
      <c r="L394" s="46"/>
      <c r="M394" s="45"/>
      <c r="N394" s="45"/>
      <c r="O394" s="45"/>
      <c r="P394" s="47"/>
      <c r="Q394" s="45"/>
      <c r="R394" s="45"/>
      <c r="S394" s="45"/>
      <c r="T394" s="45"/>
      <c r="U394" s="45"/>
      <c r="V394" s="45"/>
      <c r="W394" s="45"/>
      <c r="X394" s="45"/>
      <c r="Y394" s="45"/>
      <c r="Z394" s="48" t="s">
        <v>642</v>
      </c>
      <c r="AA394" s="45" t="s">
        <v>642</v>
      </c>
      <c r="AB394" s="45">
        <v>0</v>
      </c>
      <c r="AD394"/>
    </row>
    <row r="395" spans="1:30" ht="12.75" customHeight="1">
      <c r="A395" s="45"/>
      <c r="B395" s="45"/>
      <c r="C395" s="45"/>
      <c r="D395" s="45"/>
      <c r="E395" s="45"/>
      <c r="F395" s="45"/>
      <c r="G395" s="45"/>
      <c r="H395" s="45"/>
      <c r="I395" s="45"/>
      <c r="J395" s="45"/>
      <c r="K395" s="45"/>
      <c r="L395" s="46"/>
      <c r="M395" s="45"/>
      <c r="N395" s="45"/>
      <c r="O395" s="45"/>
      <c r="P395" s="47"/>
      <c r="Q395" s="45"/>
      <c r="R395" s="45"/>
      <c r="S395" s="45"/>
      <c r="T395" s="45"/>
      <c r="U395" s="45"/>
      <c r="V395" s="45"/>
      <c r="W395" s="45"/>
      <c r="X395" s="45"/>
      <c r="Y395" s="45"/>
      <c r="Z395" s="48" t="s">
        <v>642</v>
      </c>
      <c r="AA395" s="45" t="s">
        <v>642</v>
      </c>
      <c r="AB395" s="45">
        <v>0</v>
      </c>
      <c r="AD395"/>
    </row>
    <row r="396" spans="1:30" ht="12.75" customHeight="1">
      <c r="A396" s="45"/>
      <c r="B396" s="45"/>
      <c r="C396" s="45"/>
      <c r="D396" s="45"/>
      <c r="E396" s="45"/>
      <c r="F396" s="45"/>
      <c r="G396" s="45"/>
      <c r="H396" s="45"/>
      <c r="I396" s="45"/>
      <c r="J396" s="45"/>
      <c r="K396" s="45"/>
      <c r="L396" s="46"/>
      <c r="M396" s="45"/>
      <c r="N396" s="45"/>
      <c r="O396" s="45"/>
      <c r="P396" s="47"/>
      <c r="Q396" s="45"/>
      <c r="R396" s="45"/>
      <c r="S396" s="45"/>
      <c r="T396" s="45"/>
      <c r="U396" s="45"/>
      <c r="V396" s="45"/>
      <c r="W396" s="45"/>
      <c r="X396" s="45"/>
      <c r="Y396" s="45"/>
      <c r="Z396" s="48" t="s">
        <v>642</v>
      </c>
      <c r="AA396" s="45" t="s">
        <v>642</v>
      </c>
      <c r="AB396" s="45">
        <v>0</v>
      </c>
      <c r="AD396"/>
    </row>
    <row r="397" spans="1:30" ht="12.75" customHeight="1">
      <c r="A397" s="45"/>
      <c r="B397" s="45"/>
      <c r="C397" s="45"/>
      <c r="D397" s="45"/>
      <c r="E397" s="45"/>
      <c r="F397" s="45"/>
      <c r="G397" s="45"/>
      <c r="H397" s="45"/>
      <c r="I397" s="45"/>
      <c r="J397" s="45"/>
      <c r="K397" s="45"/>
      <c r="L397" s="46"/>
      <c r="M397" s="45"/>
      <c r="N397" s="45"/>
      <c r="O397" s="45"/>
      <c r="P397" s="47"/>
      <c r="Q397" s="45"/>
      <c r="R397" s="45"/>
      <c r="S397" s="45"/>
      <c r="T397" s="45"/>
      <c r="U397" s="45"/>
      <c r="V397" s="45"/>
      <c r="W397" s="45"/>
      <c r="X397" s="45"/>
      <c r="Y397" s="45"/>
      <c r="Z397" s="48" t="s">
        <v>642</v>
      </c>
      <c r="AA397" s="45" t="s">
        <v>642</v>
      </c>
      <c r="AB397" s="45">
        <v>0</v>
      </c>
      <c r="AD397"/>
    </row>
    <row r="398" spans="1:30" ht="12.75" customHeight="1">
      <c r="A398" s="45"/>
      <c r="B398" s="45"/>
      <c r="C398" s="45"/>
      <c r="D398" s="45"/>
      <c r="E398" s="45"/>
      <c r="F398" s="45"/>
      <c r="G398" s="45"/>
      <c r="H398" s="45"/>
      <c r="I398" s="45"/>
      <c r="J398" s="45"/>
      <c r="K398" s="45"/>
      <c r="L398" s="46"/>
      <c r="M398" s="45"/>
      <c r="N398" s="45"/>
      <c r="O398" s="45"/>
      <c r="P398" s="47"/>
      <c r="Q398" s="45"/>
      <c r="R398" s="45"/>
      <c r="S398" s="45"/>
      <c r="T398" s="45"/>
      <c r="U398" s="45"/>
      <c r="V398" s="45"/>
      <c r="W398" s="45"/>
      <c r="X398" s="45"/>
      <c r="Y398" s="45"/>
      <c r="Z398" s="48" t="s">
        <v>642</v>
      </c>
      <c r="AA398" s="45" t="s">
        <v>642</v>
      </c>
      <c r="AB398" s="45">
        <v>0</v>
      </c>
      <c r="AD398"/>
    </row>
    <row r="399" spans="1:30" ht="12.75" customHeight="1">
      <c r="A399" s="45"/>
      <c r="B399" s="45"/>
      <c r="C399" s="45"/>
      <c r="D399" s="45"/>
      <c r="E399" s="45"/>
      <c r="F399" s="45"/>
      <c r="G399" s="45"/>
      <c r="H399" s="45"/>
      <c r="I399" s="45"/>
      <c r="J399" s="45"/>
      <c r="K399" s="45"/>
      <c r="L399" s="46"/>
      <c r="M399" s="45"/>
      <c r="N399" s="45"/>
      <c r="O399" s="45"/>
      <c r="P399" s="47"/>
      <c r="Q399" s="45"/>
      <c r="R399" s="45"/>
      <c r="S399" s="45"/>
      <c r="T399" s="45"/>
      <c r="U399" s="45"/>
      <c r="V399" s="45"/>
      <c r="W399" s="45"/>
      <c r="X399" s="45"/>
      <c r="Y399" s="45"/>
      <c r="Z399" s="48" t="s">
        <v>642</v>
      </c>
      <c r="AA399" s="45" t="s">
        <v>642</v>
      </c>
      <c r="AB399" s="45">
        <v>0</v>
      </c>
      <c r="AD399"/>
    </row>
    <row r="400" spans="1:30" ht="12.75" customHeight="1">
      <c r="A400" s="45"/>
      <c r="B400" s="45"/>
      <c r="C400" s="45"/>
      <c r="D400" s="45"/>
      <c r="E400" s="45"/>
      <c r="F400" s="45"/>
      <c r="G400" s="45"/>
      <c r="H400" s="45"/>
      <c r="I400" s="45"/>
      <c r="J400" s="45"/>
      <c r="K400" s="45"/>
      <c r="L400" s="46"/>
      <c r="M400" s="45"/>
      <c r="N400" s="45"/>
      <c r="O400" s="45"/>
      <c r="P400" s="47"/>
      <c r="Q400" s="45"/>
      <c r="R400" s="45"/>
      <c r="S400" s="45"/>
      <c r="T400" s="45"/>
      <c r="U400" s="45"/>
      <c r="V400" s="45"/>
      <c r="W400" s="45"/>
      <c r="X400" s="45"/>
      <c r="Y400" s="45"/>
      <c r="Z400" s="48" t="s">
        <v>642</v>
      </c>
      <c r="AA400" s="45" t="s">
        <v>642</v>
      </c>
      <c r="AB400" s="45">
        <v>0</v>
      </c>
      <c r="AD400"/>
    </row>
    <row r="401" spans="1:30" ht="12.75" customHeight="1">
      <c r="A401" s="45"/>
      <c r="B401" s="45"/>
      <c r="C401" s="45"/>
      <c r="D401" s="45"/>
      <c r="E401" s="45"/>
      <c r="F401" s="45"/>
      <c r="G401" s="45"/>
      <c r="H401" s="45"/>
      <c r="I401" s="45"/>
      <c r="J401" s="45"/>
      <c r="K401" s="45"/>
      <c r="L401" s="46"/>
      <c r="M401" s="45"/>
      <c r="N401" s="45"/>
      <c r="O401" s="45"/>
      <c r="P401" s="47"/>
      <c r="Q401" s="45"/>
      <c r="R401" s="45"/>
      <c r="S401" s="45"/>
      <c r="T401" s="45"/>
      <c r="U401" s="45"/>
      <c r="V401" s="45"/>
      <c r="W401" s="45"/>
      <c r="X401" s="45"/>
      <c r="Y401" s="45"/>
      <c r="Z401" s="48" t="s">
        <v>642</v>
      </c>
      <c r="AA401" s="45" t="s">
        <v>642</v>
      </c>
      <c r="AB401" s="45">
        <v>0</v>
      </c>
      <c r="AD401"/>
    </row>
    <row r="402" spans="1:30" ht="12.75" customHeight="1">
      <c r="A402" s="45"/>
      <c r="B402" s="45"/>
      <c r="C402" s="45"/>
      <c r="D402" s="45"/>
      <c r="E402" s="45"/>
      <c r="F402" s="45"/>
      <c r="G402" s="45"/>
      <c r="H402" s="45"/>
      <c r="I402" s="45"/>
      <c r="J402" s="45"/>
      <c r="K402" s="45"/>
      <c r="L402" s="46"/>
      <c r="M402" s="45"/>
      <c r="N402" s="45"/>
      <c r="O402" s="45"/>
      <c r="P402" s="47"/>
      <c r="Q402" s="45"/>
      <c r="R402" s="45"/>
      <c r="S402" s="45"/>
      <c r="T402" s="45"/>
      <c r="U402" s="45"/>
      <c r="V402" s="45"/>
      <c r="W402" s="45"/>
      <c r="X402" s="45"/>
      <c r="Y402" s="45"/>
      <c r="Z402" s="48" t="s">
        <v>642</v>
      </c>
      <c r="AA402" s="45" t="s">
        <v>642</v>
      </c>
      <c r="AB402" s="45">
        <v>0</v>
      </c>
      <c r="AD402"/>
    </row>
    <row r="403" spans="1:30" ht="12.75" customHeight="1">
      <c r="A403" s="45"/>
      <c r="B403" s="45"/>
      <c r="C403" s="45"/>
      <c r="D403" s="45"/>
      <c r="E403" s="45"/>
      <c r="F403" s="45"/>
      <c r="G403" s="45"/>
      <c r="H403" s="45"/>
      <c r="I403" s="45"/>
      <c r="J403" s="45"/>
      <c r="K403" s="45"/>
      <c r="L403" s="46"/>
      <c r="M403" s="45"/>
      <c r="N403" s="45"/>
      <c r="O403" s="45"/>
      <c r="P403" s="47"/>
      <c r="Q403" s="45"/>
      <c r="R403" s="45"/>
      <c r="S403" s="45"/>
      <c r="T403" s="45"/>
      <c r="U403" s="45"/>
      <c r="V403" s="45"/>
      <c r="W403" s="45"/>
      <c r="X403" s="45"/>
      <c r="Y403" s="45"/>
      <c r="Z403" s="48" t="s">
        <v>642</v>
      </c>
      <c r="AA403" s="45" t="s">
        <v>642</v>
      </c>
      <c r="AB403" s="45">
        <v>0</v>
      </c>
      <c r="AD403"/>
    </row>
    <row r="404" spans="1:30" ht="12.75" customHeight="1">
      <c r="A404" s="45"/>
      <c r="B404" s="45"/>
      <c r="C404" s="45"/>
      <c r="D404" s="45"/>
      <c r="E404" s="45"/>
      <c r="F404" s="45"/>
      <c r="G404" s="45"/>
      <c r="H404" s="45"/>
      <c r="I404" s="45"/>
      <c r="J404" s="45"/>
      <c r="K404" s="45"/>
      <c r="L404" s="46"/>
      <c r="M404" s="45"/>
      <c r="N404" s="45"/>
      <c r="O404" s="45"/>
      <c r="P404" s="47"/>
      <c r="Q404" s="45"/>
      <c r="R404" s="45"/>
      <c r="S404" s="45"/>
      <c r="T404" s="45"/>
      <c r="U404" s="45"/>
      <c r="V404" s="45"/>
      <c r="W404" s="45"/>
      <c r="X404" s="45"/>
      <c r="Y404" s="45"/>
      <c r="Z404" s="48" t="s">
        <v>642</v>
      </c>
      <c r="AA404" s="45" t="s">
        <v>642</v>
      </c>
      <c r="AB404" s="45">
        <v>0</v>
      </c>
      <c r="AD404"/>
    </row>
    <row r="405" spans="1:30" ht="12.75" customHeight="1">
      <c r="A405" s="45"/>
      <c r="B405" s="45"/>
      <c r="C405" s="45"/>
      <c r="D405" s="45"/>
      <c r="E405" s="45"/>
      <c r="F405" s="45"/>
      <c r="G405" s="45"/>
      <c r="H405" s="45"/>
      <c r="I405" s="45"/>
      <c r="J405" s="45"/>
      <c r="K405" s="45"/>
      <c r="L405" s="46"/>
      <c r="M405" s="45"/>
      <c r="N405" s="45"/>
      <c r="O405" s="45"/>
      <c r="P405" s="47"/>
      <c r="Q405" s="45"/>
      <c r="R405" s="45"/>
      <c r="S405" s="45"/>
      <c r="T405" s="45"/>
      <c r="U405" s="45"/>
      <c r="V405" s="45"/>
      <c r="W405" s="45"/>
      <c r="X405" s="45"/>
      <c r="Y405" s="45"/>
      <c r="Z405" s="48" t="s">
        <v>642</v>
      </c>
      <c r="AA405" s="45" t="s">
        <v>642</v>
      </c>
      <c r="AB405" s="45">
        <v>0</v>
      </c>
      <c r="AD405"/>
    </row>
    <row r="406" spans="1:30" ht="12.75" customHeight="1">
      <c r="A406" s="45"/>
      <c r="B406" s="45"/>
      <c r="C406" s="45"/>
      <c r="D406" s="45"/>
      <c r="E406" s="45"/>
      <c r="F406" s="45"/>
      <c r="G406" s="45"/>
      <c r="H406" s="45"/>
      <c r="I406" s="45"/>
      <c r="J406" s="45"/>
      <c r="K406" s="45"/>
      <c r="L406" s="46"/>
      <c r="M406" s="45"/>
      <c r="N406" s="45"/>
      <c r="O406" s="45"/>
      <c r="P406" s="47"/>
      <c r="Q406" s="45"/>
      <c r="R406" s="45"/>
      <c r="S406" s="45"/>
      <c r="T406" s="45"/>
      <c r="U406" s="45"/>
      <c r="V406" s="45"/>
      <c r="W406" s="45"/>
      <c r="X406" s="45"/>
      <c r="Y406" s="45"/>
      <c r="Z406" s="48" t="s">
        <v>642</v>
      </c>
      <c r="AA406" s="45" t="s">
        <v>642</v>
      </c>
      <c r="AB406" s="45">
        <v>0</v>
      </c>
      <c r="AD406"/>
    </row>
    <row r="407" spans="1:30" ht="12.75" customHeight="1">
      <c r="A407" s="45"/>
      <c r="B407" s="45"/>
      <c r="C407" s="45"/>
      <c r="D407" s="45"/>
      <c r="E407" s="45"/>
      <c r="F407" s="45"/>
      <c r="G407" s="45"/>
      <c r="H407" s="45"/>
      <c r="I407" s="45"/>
      <c r="J407" s="45"/>
      <c r="K407" s="45"/>
      <c r="L407" s="46"/>
      <c r="M407" s="45"/>
      <c r="N407" s="45"/>
      <c r="O407" s="45"/>
      <c r="P407" s="47"/>
      <c r="Q407" s="45"/>
      <c r="R407" s="45"/>
      <c r="S407" s="45"/>
      <c r="T407" s="45"/>
      <c r="U407" s="45"/>
      <c r="V407" s="45"/>
      <c r="W407" s="45"/>
      <c r="X407" s="45"/>
      <c r="Y407" s="45"/>
      <c r="Z407" s="48" t="s">
        <v>642</v>
      </c>
      <c r="AA407" s="45" t="s">
        <v>642</v>
      </c>
      <c r="AB407" s="45">
        <v>0</v>
      </c>
      <c r="AD407"/>
    </row>
    <row r="408" spans="1:30" ht="12.75" customHeight="1">
      <c r="A408" s="45"/>
      <c r="B408" s="45"/>
      <c r="C408" s="45"/>
      <c r="D408" s="45"/>
      <c r="E408" s="45"/>
      <c r="F408" s="45"/>
      <c r="G408" s="45"/>
      <c r="H408" s="45"/>
      <c r="I408" s="45"/>
      <c r="J408" s="45"/>
      <c r="K408" s="45"/>
      <c r="L408" s="46"/>
      <c r="M408" s="45"/>
      <c r="N408" s="45"/>
      <c r="O408" s="45"/>
      <c r="P408" s="47"/>
      <c r="Q408" s="45"/>
      <c r="R408" s="45"/>
      <c r="S408" s="45"/>
      <c r="T408" s="45"/>
      <c r="U408" s="45"/>
      <c r="V408" s="45"/>
      <c r="W408" s="45"/>
      <c r="X408" s="45"/>
      <c r="Y408" s="45"/>
      <c r="Z408" s="48" t="s">
        <v>642</v>
      </c>
      <c r="AA408" s="45" t="s">
        <v>642</v>
      </c>
      <c r="AB408" s="45">
        <v>0</v>
      </c>
      <c r="AD408"/>
    </row>
    <row r="409" spans="1:30" ht="12.75" customHeight="1">
      <c r="A409" s="45"/>
      <c r="B409" s="45"/>
      <c r="C409" s="45"/>
      <c r="D409" s="45"/>
      <c r="E409" s="45"/>
      <c r="F409" s="45"/>
      <c r="G409" s="45"/>
      <c r="H409" s="45"/>
      <c r="I409" s="45"/>
      <c r="J409" s="45"/>
      <c r="K409" s="45"/>
      <c r="L409" s="46"/>
      <c r="M409" s="45"/>
      <c r="N409" s="45"/>
      <c r="O409" s="45"/>
      <c r="P409" s="47"/>
      <c r="Q409" s="45"/>
      <c r="R409" s="45"/>
      <c r="S409" s="45"/>
      <c r="T409" s="45"/>
      <c r="U409" s="45"/>
      <c r="V409" s="45"/>
      <c r="W409" s="45"/>
      <c r="X409" s="45"/>
      <c r="Y409" s="45"/>
      <c r="Z409" s="48" t="s">
        <v>642</v>
      </c>
      <c r="AA409" s="45" t="s">
        <v>642</v>
      </c>
      <c r="AB409" s="45">
        <v>0</v>
      </c>
      <c r="AD409"/>
    </row>
    <row r="410" spans="1:30" ht="12.75" customHeight="1">
      <c r="A410" s="45"/>
      <c r="B410" s="45"/>
      <c r="C410" s="45"/>
      <c r="D410" s="45"/>
      <c r="E410" s="45"/>
      <c r="F410" s="45"/>
      <c r="G410" s="45"/>
      <c r="H410" s="45"/>
      <c r="I410" s="45"/>
      <c r="J410" s="45"/>
      <c r="K410" s="45"/>
      <c r="L410" s="46"/>
      <c r="M410" s="45"/>
      <c r="N410" s="45"/>
      <c r="O410" s="45"/>
      <c r="P410" s="47"/>
      <c r="Q410" s="45"/>
      <c r="R410" s="45"/>
      <c r="S410" s="45"/>
      <c r="T410" s="45"/>
      <c r="U410" s="45"/>
      <c r="V410" s="45"/>
      <c r="W410" s="45"/>
      <c r="X410" s="45"/>
      <c r="Y410" s="45"/>
      <c r="Z410" s="48" t="s">
        <v>642</v>
      </c>
      <c r="AA410" s="45" t="s">
        <v>642</v>
      </c>
      <c r="AB410" s="45">
        <v>0</v>
      </c>
      <c r="AD410"/>
    </row>
    <row r="411" spans="1:30" ht="12.75" customHeight="1">
      <c r="A411" s="45"/>
      <c r="B411" s="45"/>
      <c r="C411" s="45"/>
      <c r="D411" s="45"/>
      <c r="E411" s="45"/>
      <c r="F411" s="45"/>
      <c r="G411" s="45"/>
      <c r="H411" s="45"/>
      <c r="I411" s="45"/>
      <c r="J411" s="45"/>
      <c r="K411" s="45"/>
      <c r="L411" s="46"/>
      <c r="M411" s="45"/>
      <c r="N411" s="45"/>
      <c r="O411" s="45"/>
      <c r="P411" s="47"/>
      <c r="Q411" s="45"/>
      <c r="R411" s="45"/>
      <c r="S411" s="45"/>
      <c r="T411" s="45"/>
      <c r="U411" s="45"/>
      <c r="V411" s="45"/>
      <c r="W411" s="45"/>
      <c r="X411" s="45"/>
      <c r="Y411" s="45"/>
      <c r="Z411" s="48" t="s">
        <v>642</v>
      </c>
      <c r="AA411" s="45" t="s">
        <v>642</v>
      </c>
      <c r="AB411" s="45">
        <v>0</v>
      </c>
      <c r="AD411"/>
    </row>
    <row r="412" spans="1:30" ht="12.75" customHeight="1">
      <c r="A412" s="45"/>
      <c r="B412" s="45"/>
      <c r="C412" s="45"/>
      <c r="D412" s="45"/>
      <c r="E412" s="45"/>
      <c r="F412" s="45"/>
      <c r="G412" s="45"/>
      <c r="H412" s="45"/>
      <c r="I412" s="45"/>
      <c r="J412" s="45"/>
      <c r="K412" s="45"/>
      <c r="L412" s="46"/>
      <c r="M412" s="45"/>
      <c r="N412" s="45"/>
      <c r="O412" s="45"/>
      <c r="P412" s="47"/>
      <c r="Q412" s="45"/>
      <c r="R412" s="45"/>
      <c r="S412" s="45"/>
      <c r="T412" s="45"/>
      <c r="U412" s="45"/>
      <c r="V412" s="45"/>
      <c r="W412" s="45"/>
      <c r="X412" s="45"/>
      <c r="Y412" s="45"/>
      <c r="Z412" s="48" t="s">
        <v>642</v>
      </c>
      <c r="AA412" s="45" t="s">
        <v>642</v>
      </c>
      <c r="AB412" s="45">
        <v>0</v>
      </c>
      <c r="AD412"/>
    </row>
    <row r="413" spans="1:30" ht="12.75" customHeight="1">
      <c r="A413" s="45"/>
      <c r="B413" s="45"/>
      <c r="C413" s="45"/>
      <c r="D413" s="45"/>
      <c r="E413" s="45"/>
      <c r="F413" s="45"/>
      <c r="G413" s="45"/>
      <c r="H413" s="45"/>
      <c r="I413" s="45"/>
      <c r="J413" s="45"/>
      <c r="K413" s="45"/>
      <c r="L413" s="46"/>
      <c r="M413" s="45"/>
      <c r="N413" s="45"/>
      <c r="O413" s="45"/>
      <c r="P413" s="47"/>
      <c r="Q413" s="45"/>
      <c r="R413" s="45"/>
      <c r="S413" s="45"/>
      <c r="T413" s="45"/>
      <c r="U413" s="45"/>
      <c r="V413" s="45"/>
      <c r="W413" s="45"/>
      <c r="X413" s="45"/>
      <c r="Y413" s="45"/>
      <c r="Z413" s="48" t="s">
        <v>642</v>
      </c>
      <c r="AA413" s="45" t="s">
        <v>642</v>
      </c>
      <c r="AB413" s="45">
        <v>0</v>
      </c>
      <c r="AD413"/>
    </row>
    <row r="414" spans="1:30" ht="12.75" customHeight="1">
      <c r="A414" s="45"/>
      <c r="B414" s="45"/>
      <c r="C414" s="45"/>
      <c r="D414" s="45"/>
      <c r="E414" s="45"/>
      <c r="F414" s="45"/>
      <c r="G414" s="45"/>
      <c r="H414" s="45"/>
      <c r="I414" s="45"/>
      <c r="J414" s="45"/>
      <c r="K414" s="45"/>
      <c r="L414" s="46"/>
      <c r="M414" s="45"/>
      <c r="N414" s="45"/>
      <c r="O414" s="45"/>
      <c r="P414" s="47"/>
      <c r="Q414" s="45"/>
      <c r="R414" s="45"/>
      <c r="S414" s="45"/>
      <c r="T414" s="45"/>
      <c r="U414" s="45"/>
      <c r="V414" s="45"/>
      <c r="W414" s="45"/>
      <c r="X414" s="45"/>
      <c r="Y414" s="45"/>
      <c r="Z414" s="48" t="s">
        <v>642</v>
      </c>
      <c r="AA414" s="45" t="s">
        <v>642</v>
      </c>
      <c r="AB414" s="45">
        <v>0</v>
      </c>
      <c r="AD414"/>
    </row>
    <row r="415" spans="1:30" ht="12.75" customHeight="1">
      <c r="A415" s="45"/>
      <c r="B415" s="45"/>
      <c r="C415" s="45"/>
      <c r="D415" s="45"/>
      <c r="E415" s="45"/>
      <c r="F415" s="45"/>
      <c r="G415" s="45"/>
      <c r="H415" s="45"/>
      <c r="I415" s="45"/>
      <c r="J415" s="45"/>
      <c r="K415" s="45"/>
      <c r="L415" s="46"/>
      <c r="M415" s="45"/>
      <c r="N415" s="45"/>
      <c r="O415" s="45"/>
      <c r="P415" s="47"/>
      <c r="Q415" s="45"/>
      <c r="R415" s="45"/>
      <c r="S415" s="45"/>
      <c r="T415" s="45"/>
      <c r="U415" s="45"/>
      <c r="V415" s="45"/>
      <c r="W415" s="45"/>
      <c r="X415" s="45"/>
      <c r="Y415" s="45"/>
      <c r="Z415" s="48" t="s">
        <v>642</v>
      </c>
      <c r="AA415" s="45" t="s">
        <v>642</v>
      </c>
      <c r="AB415" s="45">
        <v>0</v>
      </c>
      <c r="AD415"/>
    </row>
    <row r="416" spans="1:30" ht="12.75" customHeight="1">
      <c r="A416" s="45"/>
      <c r="B416" s="45"/>
      <c r="C416" s="45"/>
      <c r="D416" s="45"/>
      <c r="E416" s="45"/>
      <c r="F416" s="45"/>
      <c r="G416" s="45"/>
      <c r="H416" s="45"/>
      <c r="I416" s="45"/>
      <c r="J416" s="45"/>
      <c r="K416" s="45"/>
      <c r="L416" s="46"/>
      <c r="M416" s="45"/>
      <c r="N416" s="45"/>
      <c r="O416" s="45"/>
      <c r="P416" s="47"/>
      <c r="Q416" s="45"/>
      <c r="R416" s="45"/>
      <c r="S416" s="45"/>
      <c r="T416" s="45"/>
      <c r="U416" s="45"/>
      <c r="V416" s="45"/>
      <c r="W416" s="45"/>
      <c r="X416" s="45"/>
      <c r="Y416" s="45"/>
      <c r="Z416" s="48" t="s">
        <v>642</v>
      </c>
      <c r="AA416" s="45" t="s">
        <v>642</v>
      </c>
      <c r="AB416" s="45">
        <v>0</v>
      </c>
      <c r="AD416"/>
    </row>
    <row r="417" spans="1:30" ht="12.75" customHeight="1">
      <c r="A417" s="45"/>
      <c r="B417" s="45"/>
      <c r="C417" s="45"/>
      <c r="D417" s="45"/>
      <c r="E417" s="45"/>
      <c r="F417" s="45"/>
      <c r="G417" s="45"/>
      <c r="H417" s="45"/>
      <c r="I417" s="45"/>
      <c r="J417" s="45"/>
      <c r="K417" s="45"/>
      <c r="L417" s="46"/>
      <c r="M417" s="45"/>
      <c r="N417" s="45"/>
      <c r="O417" s="45"/>
      <c r="P417" s="47"/>
      <c r="Q417" s="45"/>
      <c r="R417" s="45"/>
      <c r="S417" s="45"/>
      <c r="T417" s="45"/>
      <c r="U417" s="45"/>
      <c r="V417" s="45"/>
      <c r="W417" s="45"/>
      <c r="X417" s="45"/>
      <c r="Y417" s="45"/>
      <c r="Z417" s="48" t="s">
        <v>642</v>
      </c>
      <c r="AA417" s="45" t="s">
        <v>642</v>
      </c>
      <c r="AB417" s="45">
        <v>0</v>
      </c>
      <c r="AD417"/>
    </row>
    <row r="418" spans="1:30" ht="12.75" customHeight="1">
      <c r="A418" s="45"/>
      <c r="B418" s="45"/>
      <c r="C418" s="45"/>
      <c r="D418" s="45"/>
      <c r="E418" s="45"/>
      <c r="F418" s="45"/>
      <c r="G418" s="45"/>
      <c r="H418" s="45"/>
      <c r="I418" s="45"/>
      <c r="J418" s="45"/>
      <c r="K418" s="45"/>
      <c r="L418" s="46"/>
      <c r="M418" s="45"/>
      <c r="N418" s="45"/>
      <c r="O418" s="45"/>
      <c r="P418" s="47"/>
      <c r="Q418" s="45"/>
      <c r="R418" s="45"/>
      <c r="S418" s="45"/>
      <c r="T418" s="45"/>
      <c r="U418" s="45"/>
      <c r="V418" s="45"/>
      <c r="W418" s="45"/>
      <c r="X418" s="45"/>
      <c r="Y418" s="45"/>
      <c r="Z418" s="48" t="s">
        <v>642</v>
      </c>
      <c r="AA418" s="45" t="s">
        <v>642</v>
      </c>
      <c r="AB418" s="45">
        <v>0</v>
      </c>
      <c r="AD418"/>
    </row>
    <row r="419" spans="1:30" ht="12.75" customHeight="1">
      <c r="A419" s="45"/>
      <c r="B419" s="45"/>
      <c r="C419" s="45"/>
      <c r="D419" s="45"/>
      <c r="E419" s="45"/>
      <c r="F419" s="45"/>
      <c r="G419" s="45"/>
      <c r="H419" s="45"/>
      <c r="I419" s="45"/>
      <c r="J419" s="45"/>
      <c r="K419" s="45"/>
      <c r="L419" s="46"/>
      <c r="M419" s="45"/>
      <c r="N419" s="45"/>
      <c r="O419" s="45"/>
      <c r="P419" s="47"/>
      <c r="Q419" s="45"/>
      <c r="R419" s="45"/>
      <c r="S419" s="45"/>
      <c r="T419" s="45"/>
      <c r="U419" s="45"/>
      <c r="V419" s="45"/>
      <c r="W419" s="45"/>
      <c r="X419" s="45"/>
      <c r="Y419" s="45"/>
      <c r="Z419" s="48" t="s">
        <v>642</v>
      </c>
      <c r="AA419" s="45" t="s">
        <v>642</v>
      </c>
      <c r="AB419" s="45">
        <v>0</v>
      </c>
      <c r="AD419"/>
    </row>
    <row r="420" spans="1:30" ht="12.75" customHeight="1">
      <c r="A420" s="45"/>
      <c r="B420" s="45"/>
      <c r="C420" s="45"/>
      <c r="D420" s="45"/>
      <c r="E420" s="45"/>
      <c r="F420" s="45"/>
      <c r="G420" s="45"/>
      <c r="H420" s="45"/>
      <c r="I420" s="45"/>
      <c r="J420" s="45"/>
      <c r="K420" s="45"/>
      <c r="L420" s="46"/>
      <c r="M420" s="45"/>
      <c r="N420" s="45"/>
      <c r="O420" s="45"/>
      <c r="P420" s="47"/>
      <c r="Q420" s="45"/>
      <c r="R420" s="45"/>
      <c r="S420" s="45"/>
      <c r="T420" s="45"/>
      <c r="U420" s="45"/>
      <c r="V420" s="45"/>
      <c r="W420" s="45"/>
      <c r="X420" s="45"/>
      <c r="Y420" s="45"/>
      <c r="Z420" s="48" t="s">
        <v>642</v>
      </c>
      <c r="AA420" s="45" t="s">
        <v>642</v>
      </c>
      <c r="AB420" s="45">
        <v>0</v>
      </c>
      <c r="AD420"/>
    </row>
    <row r="421" spans="1:30" ht="12.75" customHeight="1">
      <c r="A421" s="45"/>
      <c r="B421" s="45"/>
      <c r="C421" s="45"/>
      <c r="D421" s="45"/>
      <c r="E421" s="45"/>
      <c r="F421" s="45"/>
      <c r="G421" s="45"/>
      <c r="H421" s="45"/>
      <c r="I421" s="45"/>
      <c r="J421" s="45"/>
      <c r="K421" s="45"/>
      <c r="L421" s="46"/>
      <c r="M421" s="45"/>
      <c r="N421" s="45"/>
      <c r="O421" s="45"/>
      <c r="P421" s="47"/>
      <c r="Q421" s="45"/>
      <c r="R421" s="45"/>
      <c r="S421" s="45"/>
      <c r="T421" s="45"/>
      <c r="U421" s="45"/>
      <c r="V421" s="45"/>
      <c r="W421" s="45"/>
      <c r="X421" s="45"/>
      <c r="Y421" s="45"/>
      <c r="Z421" s="48" t="s">
        <v>642</v>
      </c>
      <c r="AA421" s="45" t="s">
        <v>642</v>
      </c>
      <c r="AB421" s="45">
        <v>0</v>
      </c>
      <c r="AD421"/>
    </row>
    <row r="422" spans="1:30" ht="12.75" customHeight="1">
      <c r="A422" s="45"/>
      <c r="B422" s="45"/>
      <c r="C422" s="45"/>
      <c r="D422" s="45"/>
      <c r="E422" s="45"/>
      <c r="F422" s="45"/>
      <c r="G422" s="45"/>
      <c r="H422" s="45"/>
      <c r="I422" s="45"/>
      <c r="J422" s="45"/>
      <c r="K422" s="45"/>
      <c r="L422" s="46"/>
      <c r="M422" s="45"/>
      <c r="N422" s="45"/>
      <c r="O422" s="45"/>
      <c r="P422" s="47"/>
      <c r="Q422" s="45"/>
      <c r="R422" s="45"/>
      <c r="S422" s="45"/>
      <c r="T422" s="45"/>
      <c r="U422" s="45"/>
      <c r="V422" s="45"/>
      <c r="W422" s="45"/>
      <c r="X422" s="45"/>
      <c r="Y422" s="45"/>
      <c r="Z422" s="48" t="s">
        <v>642</v>
      </c>
      <c r="AA422" s="45" t="s">
        <v>642</v>
      </c>
      <c r="AB422" s="45">
        <v>0</v>
      </c>
      <c r="AD422"/>
    </row>
    <row r="423" spans="1:30" ht="12.75" customHeight="1">
      <c r="A423" s="45"/>
      <c r="B423" s="45"/>
      <c r="C423" s="45"/>
      <c r="D423" s="45"/>
      <c r="E423" s="45"/>
      <c r="F423" s="45"/>
      <c r="G423" s="45"/>
      <c r="H423" s="45"/>
      <c r="I423" s="45"/>
      <c r="J423" s="45"/>
      <c r="K423" s="45"/>
      <c r="L423" s="46"/>
      <c r="M423" s="45"/>
      <c r="N423" s="45"/>
      <c r="O423" s="45"/>
      <c r="P423" s="47"/>
      <c r="Q423" s="45"/>
      <c r="R423" s="45"/>
      <c r="S423" s="45"/>
      <c r="T423" s="45"/>
      <c r="U423" s="45"/>
      <c r="V423" s="45"/>
      <c r="W423" s="45"/>
      <c r="X423" s="45"/>
      <c r="Y423" s="45"/>
      <c r="Z423" s="48" t="s">
        <v>642</v>
      </c>
      <c r="AA423" s="45" t="s">
        <v>642</v>
      </c>
      <c r="AB423" s="45">
        <v>0</v>
      </c>
      <c r="AD423"/>
    </row>
    <row r="424" spans="1:30" ht="12.75" customHeight="1">
      <c r="A424" s="45"/>
      <c r="B424" s="45"/>
      <c r="C424" s="45"/>
      <c r="D424" s="45"/>
      <c r="E424" s="45"/>
      <c r="F424" s="45"/>
      <c r="G424" s="45"/>
      <c r="H424" s="45"/>
      <c r="I424" s="45"/>
      <c r="J424" s="45"/>
      <c r="K424" s="45"/>
      <c r="L424" s="46"/>
      <c r="M424" s="45"/>
      <c r="N424" s="45"/>
      <c r="O424" s="45"/>
      <c r="P424" s="47"/>
      <c r="Q424" s="45"/>
      <c r="R424" s="45"/>
      <c r="S424" s="45"/>
      <c r="T424" s="45"/>
      <c r="U424" s="45"/>
      <c r="V424" s="45"/>
      <c r="W424" s="45"/>
      <c r="X424" s="45"/>
      <c r="Y424" s="45"/>
      <c r="Z424" s="48" t="s">
        <v>642</v>
      </c>
      <c r="AA424" s="45" t="s">
        <v>642</v>
      </c>
      <c r="AB424" s="45">
        <v>0</v>
      </c>
      <c r="AD424"/>
    </row>
    <row r="425" spans="1:30" ht="12.75" customHeight="1">
      <c r="A425" s="45"/>
      <c r="B425" s="45"/>
      <c r="C425" s="45"/>
      <c r="D425" s="45"/>
      <c r="E425" s="45"/>
      <c r="F425" s="45"/>
      <c r="G425" s="45"/>
      <c r="H425" s="45"/>
      <c r="I425" s="45"/>
      <c r="J425" s="45"/>
      <c r="K425" s="45"/>
      <c r="L425" s="46"/>
      <c r="M425" s="45"/>
      <c r="N425" s="45"/>
      <c r="O425" s="45"/>
      <c r="P425" s="47"/>
      <c r="Q425" s="45"/>
      <c r="R425" s="45"/>
      <c r="S425" s="45"/>
      <c r="T425" s="45"/>
      <c r="U425" s="45"/>
      <c r="V425" s="45"/>
      <c r="W425" s="45"/>
      <c r="X425" s="45"/>
      <c r="Y425" s="45"/>
      <c r="Z425" s="48" t="s">
        <v>642</v>
      </c>
      <c r="AA425" s="45" t="s">
        <v>642</v>
      </c>
      <c r="AB425" s="45">
        <v>0</v>
      </c>
      <c r="AD425"/>
    </row>
    <row r="426" spans="1:30" ht="12.75" customHeight="1">
      <c r="A426" s="45"/>
      <c r="B426" s="45"/>
      <c r="C426" s="45"/>
      <c r="D426" s="45"/>
      <c r="E426" s="45"/>
      <c r="F426" s="45"/>
      <c r="G426" s="45"/>
      <c r="H426" s="45"/>
      <c r="I426" s="45"/>
      <c r="J426" s="45"/>
      <c r="K426" s="45"/>
      <c r="L426" s="46"/>
      <c r="M426" s="45"/>
      <c r="N426" s="45"/>
      <c r="O426" s="45"/>
      <c r="P426" s="47"/>
      <c r="Q426" s="45"/>
      <c r="R426" s="45"/>
      <c r="S426" s="45"/>
      <c r="T426" s="45"/>
      <c r="U426" s="45"/>
      <c r="V426" s="45"/>
      <c r="W426" s="45"/>
      <c r="X426" s="45"/>
      <c r="Y426" s="45"/>
      <c r="Z426" s="48" t="s">
        <v>642</v>
      </c>
      <c r="AA426" s="45" t="s">
        <v>642</v>
      </c>
      <c r="AB426" s="45">
        <v>0</v>
      </c>
      <c r="AD426"/>
    </row>
    <row r="427" spans="1:30" ht="12.75" customHeight="1">
      <c r="A427" s="45"/>
      <c r="B427" s="45"/>
      <c r="C427" s="45"/>
      <c r="D427" s="45"/>
      <c r="E427" s="45"/>
      <c r="F427" s="45"/>
      <c r="G427" s="45"/>
      <c r="H427" s="45"/>
      <c r="I427" s="45"/>
      <c r="J427" s="45"/>
      <c r="K427" s="45"/>
      <c r="L427" s="46"/>
      <c r="M427" s="45"/>
      <c r="N427" s="45"/>
      <c r="O427" s="45"/>
      <c r="P427" s="47"/>
      <c r="Q427" s="45"/>
      <c r="R427" s="45"/>
      <c r="S427" s="45"/>
      <c r="T427" s="45"/>
      <c r="U427" s="45"/>
      <c r="V427" s="45"/>
      <c r="W427" s="45"/>
      <c r="X427" s="45"/>
      <c r="Y427" s="45"/>
      <c r="Z427" s="48" t="s">
        <v>642</v>
      </c>
      <c r="AA427" s="45" t="s">
        <v>642</v>
      </c>
      <c r="AB427" s="45">
        <v>0</v>
      </c>
      <c r="AD427"/>
    </row>
    <row r="428" spans="1:30" ht="12.75" customHeight="1">
      <c r="A428" s="45"/>
      <c r="B428" s="45"/>
      <c r="C428" s="45"/>
      <c r="D428" s="45"/>
      <c r="E428" s="45"/>
      <c r="F428" s="45"/>
      <c r="G428" s="45"/>
      <c r="H428" s="45"/>
      <c r="I428" s="45"/>
      <c r="J428" s="45"/>
      <c r="K428" s="45"/>
      <c r="L428" s="46"/>
      <c r="M428" s="45"/>
      <c r="N428" s="45"/>
      <c r="O428" s="45"/>
      <c r="P428" s="47"/>
      <c r="Q428" s="45"/>
      <c r="R428" s="45"/>
      <c r="S428" s="45"/>
      <c r="T428" s="45"/>
      <c r="U428" s="45"/>
      <c r="V428" s="45"/>
      <c r="W428" s="45"/>
      <c r="X428" s="45"/>
      <c r="Y428" s="45"/>
      <c r="Z428" s="48" t="s">
        <v>642</v>
      </c>
      <c r="AA428" s="45" t="s">
        <v>642</v>
      </c>
      <c r="AB428" s="45">
        <v>0</v>
      </c>
      <c r="AD428"/>
    </row>
    <row r="429" spans="1:30" ht="12.75" customHeight="1">
      <c r="A429" s="45"/>
      <c r="B429" s="45"/>
      <c r="C429" s="45"/>
      <c r="D429" s="45"/>
      <c r="E429" s="45"/>
      <c r="F429" s="45"/>
      <c r="G429" s="45"/>
      <c r="H429" s="45"/>
      <c r="I429" s="45"/>
      <c r="J429" s="45"/>
      <c r="K429" s="45"/>
      <c r="L429" s="46"/>
      <c r="M429" s="45"/>
      <c r="N429" s="45"/>
      <c r="O429" s="45"/>
      <c r="P429" s="47"/>
      <c r="Q429" s="45"/>
      <c r="R429" s="45"/>
      <c r="S429" s="45"/>
      <c r="T429" s="45"/>
      <c r="U429" s="45"/>
      <c r="V429" s="45"/>
      <c r="W429" s="45"/>
      <c r="X429" s="45"/>
      <c r="Y429" s="45"/>
      <c r="Z429" s="48" t="s">
        <v>642</v>
      </c>
      <c r="AA429" s="45" t="s">
        <v>642</v>
      </c>
      <c r="AB429" s="45">
        <v>0</v>
      </c>
      <c r="AD429"/>
    </row>
    <row r="430" spans="1:30" ht="12.75" customHeight="1">
      <c r="A430" s="45"/>
      <c r="B430" s="45"/>
      <c r="C430" s="45"/>
      <c r="D430" s="45"/>
      <c r="E430" s="45"/>
      <c r="F430" s="45"/>
      <c r="G430" s="45"/>
      <c r="H430" s="45"/>
      <c r="I430" s="45"/>
      <c r="J430" s="45"/>
      <c r="K430" s="45"/>
      <c r="L430" s="46"/>
      <c r="M430" s="45"/>
      <c r="N430" s="45"/>
      <c r="O430" s="45"/>
      <c r="P430" s="47"/>
      <c r="Q430" s="45"/>
      <c r="R430" s="45"/>
      <c r="S430" s="45"/>
      <c r="T430" s="45"/>
      <c r="U430" s="45"/>
      <c r="V430" s="45"/>
      <c r="W430" s="45"/>
      <c r="X430" s="45"/>
      <c r="Y430" s="45"/>
      <c r="Z430" s="48" t="s">
        <v>642</v>
      </c>
      <c r="AA430" s="45" t="s">
        <v>642</v>
      </c>
      <c r="AB430" s="45">
        <v>0</v>
      </c>
      <c r="AD430"/>
    </row>
    <row r="431" spans="1:30" ht="12.75" customHeight="1">
      <c r="A431" s="45"/>
      <c r="B431" s="45"/>
      <c r="C431" s="45"/>
      <c r="D431" s="45"/>
      <c r="E431" s="45"/>
      <c r="F431" s="45"/>
      <c r="G431" s="45"/>
      <c r="H431" s="45"/>
      <c r="I431" s="45"/>
      <c r="J431" s="45"/>
      <c r="K431" s="45"/>
      <c r="L431" s="46"/>
      <c r="M431" s="45"/>
      <c r="N431" s="45"/>
      <c r="O431" s="45"/>
      <c r="P431" s="47"/>
      <c r="Q431" s="45"/>
      <c r="R431" s="45"/>
      <c r="S431" s="45"/>
      <c r="T431" s="45"/>
      <c r="U431" s="45"/>
      <c r="V431" s="45"/>
      <c r="W431" s="45"/>
      <c r="X431" s="45"/>
      <c r="Y431" s="45"/>
      <c r="Z431" s="48" t="s">
        <v>642</v>
      </c>
      <c r="AA431" s="45" t="s">
        <v>642</v>
      </c>
      <c r="AB431" s="45">
        <v>0</v>
      </c>
      <c r="AD431"/>
    </row>
    <row r="432" spans="1:30" ht="12.75" customHeight="1">
      <c r="A432" s="45"/>
      <c r="B432" s="45"/>
      <c r="C432" s="45"/>
      <c r="D432" s="45"/>
      <c r="E432" s="45"/>
      <c r="F432" s="45"/>
      <c r="G432" s="45"/>
      <c r="H432" s="45"/>
      <c r="I432" s="45"/>
      <c r="J432" s="45"/>
      <c r="K432" s="45"/>
      <c r="L432" s="46"/>
      <c r="M432" s="45"/>
      <c r="N432" s="45"/>
      <c r="O432" s="45"/>
      <c r="P432" s="47"/>
      <c r="Q432" s="45"/>
      <c r="R432" s="45"/>
      <c r="S432" s="45"/>
      <c r="T432" s="45"/>
      <c r="U432" s="45"/>
      <c r="V432" s="45"/>
      <c r="W432" s="45"/>
      <c r="X432" s="45"/>
      <c r="Y432" s="45"/>
      <c r="Z432" s="48" t="s">
        <v>642</v>
      </c>
      <c r="AA432" s="45" t="s">
        <v>642</v>
      </c>
      <c r="AB432" s="45">
        <v>0</v>
      </c>
      <c r="AD432"/>
    </row>
    <row r="433" spans="1:30" ht="12.75" customHeight="1">
      <c r="A433" s="45"/>
      <c r="B433" s="45"/>
      <c r="C433" s="45"/>
      <c r="D433" s="45"/>
      <c r="E433" s="45"/>
      <c r="F433" s="45"/>
      <c r="G433" s="45"/>
      <c r="H433" s="45"/>
      <c r="I433" s="45"/>
      <c r="J433" s="45"/>
      <c r="K433" s="45"/>
      <c r="L433" s="46"/>
      <c r="M433" s="45"/>
      <c r="N433" s="45"/>
      <c r="O433" s="45"/>
      <c r="P433" s="47"/>
      <c r="Q433" s="45"/>
      <c r="R433" s="45"/>
      <c r="S433" s="45"/>
      <c r="T433" s="45"/>
      <c r="U433" s="45"/>
      <c r="V433" s="45"/>
      <c r="W433" s="45"/>
      <c r="X433" s="45"/>
      <c r="Y433" s="45"/>
      <c r="Z433" s="48" t="s">
        <v>642</v>
      </c>
      <c r="AA433" s="45" t="s">
        <v>642</v>
      </c>
      <c r="AB433" s="45">
        <v>0</v>
      </c>
      <c r="AD433"/>
    </row>
    <row r="434" spans="1:30" ht="12.75" customHeight="1">
      <c r="A434" s="45"/>
      <c r="B434" s="45"/>
      <c r="C434" s="45"/>
      <c r="D434" s="45"/>
      <c r="E434" s="45"/>
      <c r="F434" s="45"/>
      <c r="G434" s="45"/>
      <c r="H434" s="45"/>
      <c r="I434" s="45"/>
      <c r="J434" s="45"/>
      <c r="K434" s="45"/>
      <c r="L434" s="46"/>
      <c r="M434" s="45"/>
      <c r="N434" s="45"/>
      <c r="O434" s="45"/>
      <c r="P434" s="47"/>
      <c r="Q434" s="45"/>
      <c r="R434" s="45"/>
      <c r="S434" s="45"/>
      <c r="T434" s="45"/>
      <c r="U434" s="45"/>
      <c r="V434" s="45"/>
      <c r="W434" s="45"/>
      <c r="X434" s="45"/>
      <c r="Y434" s="45"/>
      <c r="Z434" s="48" t="s">
        <v>642</v>
      </c>
      <c r="AA434" s="45" t="s">
        <v>642</v>
      </c>
      <c r="AB434" s="45">
        <v>0</v>
      </c>
      <c r="AD434"/>
    </row>
    <row r="435" spans="1:30" ht="12.75" customHeight="1">
      <c r="A435" s="45"/>
      <c r="B435" s="45"/>
      <c r="C435" s="45"/>
      <c r="D435" s="45"/>
      <c r="E435" s="45"/>
      <c r="F435" s="45"/>
      <c r="G435" s="45"/>
      <c r="H435" s="45"/>
      <c r="I435" s="45"/>
      <c r="J435" s="45"/>
      <c r="K435" s="45"/>
      <c r="L435" s="46"/>
      <c r="M435" s="45"/>
      <c r="N435" s="45"/>
      <c r="O435" s="45"/>
      <c r="P435" s="47"/>
      <c r="Q435" s="45"/>
      <c r="R435" s="45"/>
      <c r="S435" s="45"/>
      <c r="T435" s="45"/>
      <c r="U435" s="45"/>
      <c r="V435" s="45"/>
      <c r="W435" s="45"/>
      <c r="X435" s="45"/>
      <c r="Y435" s="45"/>
      <c r="Z435" s="48" t="s">
        <v>642</v>
      </c>
      <c r="AA435" s="45" t="s">
        <v>642</v>
      </c>
      <c r="AB435" s="45">
        <v>0</v>
      </c>
      <c r="AD435"/>
    </row>
    <row r="436" spans="1:30" ht="12.75" customHeight="1">
      <c r="A436" s="45"/>
      <c r="B436" s="45"/>
      <c r="C436" s="45"/>
      <c r="D436" s="45"/>
      <c r="E436" s="45"/>
      <c r="F436" s="45"/>
      <c r="G436" s="45"/>
      <c r="H436" s="45"/>
      <c r="I436" s="45"/>
      <c r="J436" s="45"/>
      <c r="K436" s="45"/>
      <c r="L436" s="46"/>
      <c r="M436" s="45"/>
      <c r="N436" s="45"/>
      <c r="O436" s="45"/>
      <c r="P436" s="47"/>
      <c r="Q436" s="45"/>
      <c r="R436" s="45"/>
      <c r="S436" s="45"/>
      <c r="T436" s="45"/>
      <c r="U436" s="45"/>
      <c r="V436" s="45"/>
      <c r="W436" s="45"/>
      <c r="X436" s="45"/>
      <c r="Y436" s="45"/>
      <c r="Z436" s="48" t="s">
        <v>642</v>
      </c>
      <c r="AA436" s="45" t="s">
        <v>642</v>
      </c>
      <c r="AB436" s="45">
        <v>0</v>
      </c>
      <c r="AD436"/>
    </row>
    <row r="437" spans="1:30" ht="12.75" customHeight="1">
      <c r="A437" s="45"/>
      <c r="B437" s="45"/>
      <c r="C437" s="45"/>
      <c r="D437" s="45"/>
      <c r="E437" s="45"/>
      <c r="F437" s="45"/>
      <c r="G437" s="45"/>
      <c r="H437" s="45"/>
      <c r="I437" s="45"/>
      <c r="J437" s="45"/>
      <c r="K437" s="45"/>
      <c r="L437" s="46"/>
      <c r="M437" s="45"/>
      <c r="N437" s="45"/>
      <c r="O437" s="45"/>
      <c r="P437" s="47"/>
      <c r="Q437" s="45"/>
      <c r="R437" s="45"/>
      <c r="S437" s="45"/>
      <c r="T437" s="45"/>
      <c r="U437" s="45"/>
      <c r="V437" s="45"/>
      <c r="W437" s="45"/>
      <c r="X437" s="45"/>
      <c r="Y437" s="45"/>
      <c r="Z437" s="48" t="s">
        <v>642</v>
      </c>
      <c r="AA437" s="45" t="s">
        <v>642</v>
      </c>
      <c r="AB437" s="45">
        <v>0</v>
      </c>
      <c r="AD437"/>
    </row>
    <row r="438" spans="1:30" ht="12.75" customHeight="1">
      <c r="A438" s="45"/>
      <c r="B438" s="45"/>
      <c r="C438" s="45"/>
      <c r="D438" s="45"/>
      <c r="E438" s="45"/>
      <c r="F438" s="45"/>
      <c r="G438" s="45"/>
      <c r="H438" s="45"/>
      <c r="I438" s="45"/>
      <c r="J438" s="45"/>
      <c r="K438" s="45"/>
      <c r="L438" s="46"/>
      <c r="M438" s="45"/>
      <c r="N438" s="45"/>
      <c r="O438" s="45"/>
      <c r="P438" s="47"/>
      <c r="Q438" s="45"/>
      <c r="R438" s="45"/>
      <c r="S438" s="45"/>
      <c r="T438" s="45"/>
      <c r="U438" s="45"/>
      <c r="V438" s="45"/>
      <c r="W438" s="45"/>
      <c r="X438" s="45"/>
      <c r="Y438" s="45"/>
      <c r="Z438" s="48" t="s">
        <v>642</v>
      </c>
      <c r="AA438" s="45" t="s">
        <v>642</v>
      </c>
      <c r="AB438" s="45">
        <v>0</v>
      </c>
      <c r="AD438"/>
    </row>
    <row r="439" spans="1:30" ht="12.75" customHeight="1">
      <c r="A439" s="45"/>
      <c r="B439" s="45"/>
      <c r="C439" s="45"/>
      <c r="D439" s="45"/>
      <c r="E439" s="45"/>
      <c r="F439" s="45"/>
      <c r="G439" s="45"/>
      <c r="H439" s="45"/>
      <c r="I439" s="45"/>
      <c r="J439" s="45"/>
      <c r="K439" s="45"/>
      <c r="L439" s="46"/>
      <c r="M439" s="45"/>
      <c r="N439" s="45"/>
      <c r="O439" s="45"/>
      <c r="P439" s="47"/>
      <c r="Q439" s="45"/>
      <c r="R439" s="45"/>
      <c r="S439" s="45"/>
      <c r="T439" s="45"/>
      <c r="U439" s="45"/>
      <c r="V439" s="45"/>
      <c r="W439" s="45"/>
      <c r="X439" s="45"/>
      <c r="Y439" s="45"/>
      <c r="Z439" s="48" t="s">
        <v>642</v>
      </c>
      <c r="AA439" s="45" t="s">
        <v>642</v>
      </c>
      <c r="AB439" s="45">
        <v>0</v>
      </c>
      <c r="AD439"/>
    </row>
    <row r="440" spans="1:30" ht="12.75" customHeight="1">
      <c r="A440" s="45"/>
      <c r="B440" s="45"/>
      <c r="C440" s="45"/>
      <c r="D440" s="45"/>
      <c r="E440" s="45"/>
      <c r="F440" s="45"/>
      <c r="G440" s="45"/>
      <c r="H440" s="45"/>
      <c r="I440" s="45"/>
      <c r="J440" s="45"/>
      <c r="K440" s="45"/>
      <c r="L440" s="46"/>
      <c r="M440" s="45"/>
      <c r="N440" s="45"/>
      <c r="O440" s="45"/>
      <c r="P440" s="47"/>
      <c r="Q440" s="45"/>
      <c r="R440" s="45"/>
      <c r="S440" s="45"/>
      <c r="T440" s="45"/>
      <c r="U440" s="45"/>
      <c r="V440" s="45"/>
      <c r="W440" s="45"/>
      <c r="X440" s="45"/>
      <c r="Y440" s="45"/>
      <c r="Z440" s="48" t="s">
        <v>642</v>
      </c>
      <c r="AA440" s="45" t="s">
        <v>642</v>
      </c>
      <c r="AB440" s="45">
        <v>0</v>
      </c>
      <c r="AD440"/>
    </row>
    <row r="441" spans="1:30" ht="12.75" customHeight="1">
      <c r="A441" s="45"/>
      <c r="B441" s="45"/>
      <c r="C441" s="45"/>
      <c r="D441" s="45"/>
      <c r="E441" s="45"/>
      <c r="F441" s="45"/>
      <c r="G441" s="45"/>
      <c r="H441" s="45"/>
      <c r="I441" s="45"/>
      <c r="J441" s="45"/>
      <c r="K441" s="45"/>
      <c r="L441" s="46"/>
      <c r="M441" s="45"/>
      <c r="N441" s="45"/>
      <c r="O441" s="45"/>
      <c r="P441" s="47"/>
      <c r="Q441" s="45"/>
      <c r="R441" s="45"/>
      <c r="S441" s="45"/>
      <c r="T441" s="45"/>
      <c r="U441" s="45"/>
      <c r="V441" s="45"/>
      <c r="W441" s="45"/>
      <c r="X441" s="45"/>
      <c r="Y441" s="45"/>
      <c r="Z441" s="48" t="s">
        <v>642</v>
      </c>
      <c r="AA441" s="45" t="s">
        <v>642</v>
      </c>
      <c r="AB441" s="45">
        <v>0</v>
      </c>
      <c r="AD441"/>
    </row>
    <row r="442" spans="1:30" ht="12.75" customHeight="1">
      <c r="A442" s="45"/>
      <c r="B442" s="45"/>
      <c r="C442" s="45"/>
      <c r="D442" s="45"/>
      <c r="E442" s="45"/>
      <c r="F442" s="45"/>
      <c r="G442" s="45"/>
      <c r="H442" s="45"/>
      <c r="I442" s="45"/>
      <c r="J442" s="45"/>
      <c r="K442" s="45"/>
      <c r="L442" s="46"/>
      <c r="M442" s="45"/>
      <c r="N442" s="45"/>
      <c r="O442" s="45"/>
      <c r="P442" s="47"/>
      <c r="Q442" s="45"/>
      <c r="R442" s="45"/>
      <c r="S442" s="45"/>
      <c r="T442" s="45"/>
      <c r="U442" s="45"/>
      <c r="V442" s="45"/>
      <c r="W442" s="45"/>
      <c r="X442" s="45"/>
      <c r="Y442" s="45"/>
      <c r="Z442" s="48" t="s">
        <v>642</v>
      </c>
      <c r="AA442" s="45" t="s">
        <v>642</v>
      </c>
      <c r="AB442" s="45">
        <v>0</v>
      </c>
      <c r="AD442"/>
    </row>
    <row r="443" spans="1:30" ht="12.75" customHeight="1">
      <c r="A443" s="45"/>
      <c r="B443" s="45"/>
      <c r="C443" s="45"/>
      <c r="D443" s="45"/>
      <c r="E443" s="45"/>
      <c r="F443" s="45"/>
      <c r="G443" s="45"/>
      <c r="H443" s="45"/>
      <c r="I443" s="45"/>
      <c r="J443" s="45"/>
      <c r="K443" s="45"/>
      <c r="L443" s="46"/>
      <c r="M443" s="45"/>
      <c r="N443" s="45"/>
      <c r="O443" s="45"/>
      <c r="P443" s="47"/>
      <c r="Q443" s="45"/>
      <c r="R443" s="45"/>
      <c r="S443" s="45"/>
      <c r="T443" s="45"/>
      <c r="U443" s="45"/>
      <c r="V443" s="45"/>
      <c r="W443" s="45"/>
      <c r="X443" s="45"/>
      <c r="Y443" s="45"/>
      <c r="Z443" s="48" t="s">
        <v>642</v>
      </c>
      <c r="AA443" s="45" t="s">
        <v>642</v>
      </c>
      <c r="AB443" s="45">
        <v>0</v>
      </c>
      <c r="AD443"/>
    </row>
    <row r="444" spans="1:30" ht="12.75" customHeight="1">
      <c r="A444" s="45"/>
      <c r="B444" s="45"/>
      <c r="C444" s="45"/>
      <c r="D444" s="45"/>
      <c r="E444" s="45"/>
      <c r="F444" s="45"/>
      <c r="G444" s="45"/>
      <c r="H444" s="45"/>
      <c r="I444" s="45"/>
      <c r="J444" s="45"/>
      <c r="K444" s="45"/>
      <c r="L444" s="46"/>
      <c r="M444" s="45"/>
      <c r="N444" s="45"/>
      <c r="O444" s="45"/>
      <c r="P444" s="47"/>
      <c r="Q444" s="45"/>
      <c r="R444" s="45"/>
      <c r="S444" s="45"/>
      <c r="T444" s="45"/>
      <c r="U444" s="45"/>
      <c r="V444" s="45"/>
      <c r="W444" s="45"/>
      <c r="X444" s="45"/>
      <c r="Y444" s="45"/>
      <c r="Z444" s="48" t="s">
        <v>642</v>
      </c>
      <c r="AA444" s="45" t="s">
        <v>642</v>
      </c>
      <c r="AB444" s="45">
        <v>0</v>
      </c>
      <c r="AD444"/>
    </row>
    <row r="445" spans="1:30" ht="12.75" customHeight="1">
      <c r="A445" s="45"/>
      <c r="B445" s="45"/>
      <c r="C445" s="45"/>
      <c r="D445" s="45"/>
      <c r="E445" s="45"/>
      <c r="F445" s="45"/>
      <c r="G445" s="45"/>
      <c r="H445" s="45"/>
      <c r="I445" s="45"/>
      <c r="J445" s="45"/>
      <c r="K445" s="45"/>
      <c r="L445" s="46"/>
      <c r="M445" s="45"/>
      <c r="N445" s="45"/>
      <c r="O445" s="45"/>
      <c r="P445" s="47"/>
      <c r="Q445" s="45"/>
      <c r="R445" s="45"/>
      <c r="S445" s="45"/>
      <c r="T445" s="45"/>
      <c r="U445" s="45"/>
      <c r="V445" s="45"/>
      <c r="W445" s="45"/>
      <c r="X445" s="45"/>
      <c r="Y445" s="45"/>
      <c r="Z445" s="48" t="s">
        <v>642</v>
      </c>
      <c r="AA445" s="45" t="s">
        <v>642</v>
      </c>
      <c r="AB445" s="45">
        <v>0</v>
      </c>
      <c r="AD445"/>
    </row>
    <row r="446" spans="1:30" ht="12.75" customHeight="1">
      <c r="A446" s="45"/>
      <c r="B446" s="45"/>
      <c r="C446" s="45"/>
      <c r="D446" s="45"/>
      <c r="E446" s="45"/>
      <c r="F446" s="45"/>
      <c r="G446" s="45"/>
      <c r="H446" s="45"/>
      <c r="I446" s="45"/>
      <c r="J446" s="45"/>
      <c r="K446" s="45"/>
      <c r="L446" s="46"/>
      <c r="M446" s="45"/>
      <c r="N446" s="45"/>
      <c r="O446" s="45"/>
      <c r="P446" s="47"/>
      <c r="Q446" s="45"/>
      <c r="R446" s="45"/>
      <c r="S446" s="45"/>
      <c r="T446" s="45"/>
      <c r="U446" s="45"/>
      <c r="V446" s="45"/>
      <c r="W446" s="45"/>
      <c r="X446" s="45"/>
      <c r="Y446" s="45"/>
      <c r="Z446" s="48" t="s">
        <v>642</v>
      </c>
      <c r="AA446" s="45" t="s">
        <v>642</v>
      </c>
      <c r="AB446" s="45">
        <v>0</v>
      </c>
      <c r="AD446"/>
    </row>
    <row r="447" spans="1:30" ht="12.75" customHeight="1">
      <c r="A447" s="45"/>
      <c r="B447" s="45"/>
      <c r="C447" s="45"/>
      <c r="D447" s="45"/>
      <c r="E447" s="45"/>
      <c r="F447" s="45"/>
      <c r="G447" s="45"/>
      <c r="H447" s="45"/>
      <c r="I447" s="45"/>
      <c r="J447" s="45"/>
      <c r="K447" s="45"/>
      <c r="L447" s="46"/>
      <c r="M447" s="45"/>
      <c r="N447" s="45"/>
      <c r="O447" s="45"/>
      <c r="P447" s="47"/>
      <c r="Q447" s="45"/>
      <c r="R447" s="45"/>
      <c r="S447" s="45"/>
      <c r="T447" s="45"/>
      <c r="U447" s="45"/>
      <c r="V447" s="45"/>
      <c r="W447" s="45"/>
      <c r="X447" s="45"/>
      <c r="Y447" s="45"/>
      <c r="Z447" s="48" t="s">
        <v>642</v>
      </c>
      <c r="AA447" s="45" t="s">
        <v>642</v>
      </c>
      <c r="AB447" s="45">
        <v>0</v>
      </c>
      <c r="AD447"/>
    </row>
    <row r="448" spans="1:30" ht="12.75" customHeight="1">
      <c r="A448" s="45"/>
      <c r="B448" s="45"/>
      <c r="C448" s="45"/>
      <c r="D448" s="45"/>
      <c r="E448" s="45"/>
      <c r="F448" s="45"/>
      <c r="G448" s="45"/>
      <c r="H448" s="45"/>
      <c r="I448" s="45"/>
      <c r="J448" s="45"/>
      <c r="K448" s="45"/>
      <c r="L448" s="46"/>
      <c r="M448" s="45"/>
      <c r="N448" s="45"/>
      <c r="O448" s="45"/>
      <c r="P448" s="47"/>
      <c r="Q448" s="45"/>
      <c r="R448" s="45"/>
      <c r="S448" s="45"/>
      <c r="T448" s="45"/>
      <c r="U448" s="45"/>
      <c r="V448" s="45"/>
      <c r="W448" s="45"/>
      <c r="X448" s="45"/>
      <c r="Y448" s="45"/>
      <c r="Z448" s="48" t="s">
        <v>642</v>
      </c>
      <c r="AA448" s="45" t="s">
        <v>642</v>
      </c>
      <c r="AB448" s="45">
        <v>0</v>
      </c>
      <c r="AD448"/>
    </row>
    <row r="449" spans="1:30" ht="12.75" customHeight="1">
      <c r="A449" s="45"/>
      <c r="B449" s="45"/>
      <c r="C449" s="45"/>
      <c r="D449" s="45"/>
      <c r="E449" s="45"/>
      <c r="F449" s="45"/>
      <c r="G449" s="45"/>
      <c r="H449" s="45"/>
      <c r="I449" s="45"/>
      <c r="J449" s="45"/>
      <c r="K449" s="45"/>
      <c r="L449" s="46"/>
      <c r="M449" s="45"/>
      <c r="N449" s="45"/>
      <c r="O449" s="45"/>
      <c r="P449" s="47"/>
      <c r="Q449" s="45"/>
      <c r="R449" s="45"/>
      <c r="S449" s="45"/>
      <c r="T449" s="45"/>
      <c r="U449" s="45"/>
      <c r="V449" s="45"/>
      <c r="W449" s="45"/>
      <c r="X449" s="45"/>
      <c r="Y449" s="45"/>
      <c r="Z449" s="48" t="s">
        <v>642</v>
      </c>
      <c r="AA449" s="45" t="s">
        <v>642</v>
      </c>
      <c r="AB449" s="45">
        <v>0</v>
      </c>
      <c r="AD449"/>
    </row>
    <row r="450" spans="1:30" ht="12.75" customHeight="1">
      <c r="A450" s="45"/>
      <c r="B450" s="45"/>
      <c r="C450" s="45"/>
      <c r="D450" s="45"/>
      <c r="E450" s="45"/>
      <c r="F450" s="45"/>
      <c r="G450" s="45"/>
      <c r="H450" s="45"/>
      <c r="I450" s="45"/>
      <c r="J450" s="45"/>
      <c r="K450" s="45"/>
      <c r="L450" s="46"/>
      <c r="M450" s="45"/>
      <c r="N450" s="45"/>
      <c r="O450" s="45"/>
      <c r="P450" s="47"/>
      <c r="Q450" s="45"/>
      <c r="R450" s="45"/>
      <c r="S450" s="45"/>
      <c r="T450" s="45"/>
      <c r="U450" s="45"/>
      <c r="V450" s="45"/>
      <c r="W450" s="45"/>
      <c r="X450" s="45"/>
      <c r="Y450" s="45"/>
      <c r="Z450" s="48" t="s">
        <v>642</v>
      </c>
      <c r="AA450" s="45" t="s">
        <v>642</v>
      </c>
      <c r="AB450" s="45">
        <v>0</v>
      </c>
      <c r="AD450"/>
    </row>
    <row r="451" spans="1:30" ht="12.75" customHeight="1">
      <c r="A451" s="45"/>
      <c r="B451" s="45"/>
      <c r="C451" s="45"/>
      <c r="D451" s="45"/>
      <c r="E451" s="45"/>
      <c r="F451" s="45"/>
      <c r="G451" s="45"/>
      <c r="H451" s="45"/>
      <c r="I451" s="45"/>
      <c r="J451" s="45"/>
      <c r="K451" s="45"/>
      <c r="L451" s="46"/>
      <c r="M451" s="45"/>
      <c r="N451" s="45"/>
      <c r="O451" s="45"/>
      <c r="P451" s="47"/>
      <c r="Q451" s="45"/>
      <c r="R451" s="45"/>
      <c r="S451" s="45"/>
      <c r="T451" s="45"/>
      <c r="U451" s="45"/>
      <c r="V451" s="45"/>
      <c r="W451" s="45"/>
      <c r="X451" s="45"/>
      <c r="Y451" s="45"/>
      <c r="Z451" s="48" t="s">
        <v>642</v>
      </c>
      <c r="AA451" s="45" t="s">
        <v>642</v>
      </c>
      <c r="AB451" s="45">
        <v>0</v>
      </c>
      <c r="AD451"/>
    </row>
    <row r="452" spans="1:30" ht="12.75" customHeight="1">
      <c r="A452" s="45"/>
      <c r="B452" s="45"/>
      <c r="C452" s="45"/>
      <c r="D452" s="45"/>
      <c r="E452" s="45"/>
      <c r="F452" s="45"/>
      <c r="G452" s="45"/>
      <c r="H452" s="45"/>
      <c r="I452" s="45"/>
      <c r="J452" s="45"/>
      <c r="K452" s="45"/>
      <c r="L452" s="46"/>
      <c r="M452" s="45"/>
      <c r="N452" s="45"/>
      <c r="O452" s="45"/>
      <c r="P452" s="47"/>
      <c r="Q452" s="45"/>
      <c r="R452" s="45"/>
      <c r="S452" s="45"/>
      <c r="T452" s="45"/>
      <c r="U452" s="45"/>
      <c r="V452" s="45"/>
      <c r="W452" s="45"/>
      <c r="X452" s="45"/>
      <c r="Y452" s="45"/>
      <c r="Z452" s="48" t="s">
        <v>642</v>
      </c>
      <c r="AA452" s="45" t="s">
        <v>642</v>
      </c>
      <c r="AB452" s="45">
        <v>0</v>
      </c>
      <c r="AD452"/>
    </row>
    <row r="453" spans="1:30" ht="12.75" customHeight="1">
      <c r="A453" s="45"/>
      <c r="B453" s="45"/>
      <c r="C453" s="45"/>
      <c r="D453" s="45"/>
      <c r="E453" s="45"/>
      <c r="F453" s="45"/>
      <c r="G453" s="45"/>
      <c r="H453" s="45"/>
      <c r="I453" s="45"/>
      <c r="J453" s="45"/>
      <c r="K453" s="45"/>
      <c r="L453" s="46"/>
      <c r="M453" s="45"/>
      <c r="N453" s="45"/>
      <c r="O453" s="45"/>
      <c r="P453" s="47"/>
      <c r="Q453" s="45"/>
      <c r="R453" s="45"/>
      <c r="S453" s="45"/>
      <c r="T453" s="45"/>
      <c r="U453" s="45"/>
      <c r="V453" s="45"/>
      <c r="W453" s="45"/>
      <c r="X453" s="45"/>
      <c r="Y453" s="45"/>
      <c r="Z453" s="48" t="s">
        <v>642</v>
      </c>
      <c r="AA453" s="45" t="s">
        <v>642</v>
      </c>
      <c r="AB453" s="45">
        <v>0</v>
      </c>
      <c r="AD453"/>
    </row>
    <row r="454" spans="1:30" ht="12.75" customHeight="1">
      <c r="A454" s="45"/>
      <c r="B454" s="45"/>
      <c r="C454" s="45"/>
      <c r="D454" s="45"/>
      <c r="E454" s="45"/>
      <c r="F454" s="45"/>
      <c r="G454" s="45"/>
      <c r="H454" s="45"/>
      <c r="I454" s="45"/>
      <c r="J454" s="45"/>
      <c r="K454" s="45"/>
      <c r="L454" s="46"/>
      <c r="M454" s="45"/>
      <c r="N454" s="45"/>
      <c r="O454" s="45"/>
      <c r="P454" s="47"/>
      <c r="Q454" s="45"/>
      <c r="R454" s="45"/>
      <c r="S454" s="45"/>
      <c r="T454" s="45"/>
      <c r="U454" s="45"/>
      <c r="V454" s="45"/>
      <c r="W454" s="45"/>
      <c r="X454" s="45"/>
      <c r="Y454" s="45"/>
      <c r="Z454" s="48" t="s">
        <v>642</v>
      </c>
      <c r="AA454" s="45" t="s">
        <v>642</v>
      </c>
      <c r="AB454" s="45">
        <v>0</v>
      </c>
      <c r="AD454"/>
    </row>
    <row r="455" spans="1:30" ht="12.75" customHeight="1">
      <c r="A455" s="45"/>
      <c r="B455" s="45"/>
      <c r="C455" s="45"/>
      <c r="D455" s="45"/>
      <c r="E455" s="45"/>
      <c r="F455" s="45"/>
      <c r="G455" s="45"/>
      <c r="H455" s="45"/>
      <c r="I455" s="45"/>
      <c r="J455" s="45"/>
      <c r="K455" s="45"/>
      <c r="L455" s="46"/>
      <c r="M455" s="45"/>
      <c r="N455" s="45"/>
      <c r="O455" s="45"/>
      <c r="P455" s="47"/>
      <c r="Q455" s="45"/>
      <c r="R455" s="45"/>
      <c r="S455" s="45"/>
      <c r="T455" s="45"/>
      <c r="U455" s="45"/>
      <c r="V455" s="45"/>
      <c r="W455" s="45"/>
      <c r="X455" s="45"/>
      <c r="Y455" s="45"/>
      <c r="Z455" s="48" t="s">
        <v>642</v>
      </c>
      <c r="AA455" s="45" t="s">
        <v>642</v>
      </c>
      <c r="AB455" s="45">
        <v>0</v>
      </c>
      <c r="AD455"/>
    </row>
    <row r="456" spans="1:30" ht="12.75" customHeight="1">
      <c r="A456" s="45"/>
      <c r="B456" s="45"/>
      <c r="C456" s="45"/>
      <c r="D456" s="45"/>
      <c r="E456" s="45"/>
      <c r="F456" s="45"/>
      <c r="G456" s="45"/>
      <c r="H456" s="45"/>
      <c r="I456" s="45"/>
      <c r="J456" s="45"/>
      <c r="K456" s="45"/>
      <c r="L456" s="46"/>
      <c r="M456" s="45"/>
      <c r="N456" s="45"/>
      <c r="O456" s="45"/>
      <c r="P456" s="47"/>
      <c r="Q456" s="45"/>
      <c r="R456" s="45"/>
      <c r="S456" s="45"/>
      <c r="T456" s="45"/>
      <c r="U456" s="45"/>
      <c r="V456" s="45"/>
      <c r="W456" s="45"/>
      <c r="X456" s="45"/>
      <c r="Y456" s="45"/>
      <c r="Z456" s="48" t="s">
        <v>642</v>
      </c>
      <c r="AA456" s="45" t="s">
        <v>642</v>
      </c>
      <c r="AB456" s="45">
        <v>0</v>
      </c>
      <c r="AD456"/>
    </row>
    <row r="457" spans="1:30" ht="12.75" customHeight="1">
      <c r="A457" s="45"/>
      <c r="B457" s="45"/>
      <c r="C457" s="45"/>
      <c r="D457" s="45"/>
      <c r="E457" s="45"/>
      <c r="F457" s="45"/>
      <c r="G457" s="45"/>
      <c r="H457" s="45"/>
      <c r="I457" s="45"/>
      <c r="J457" s="45"/>
      <c r="K457" s="45"/>
      <c r="L457" s="46"/>
      <c r="M457" s="45"/>
      <c r="N457" s="45"/>
      <c r="O457" s="45"/>
      <c r="P457" s="47"/>
      <c r="Q457" s="45"/>
      <c r="R457" s="45"/>
      <c r="S457" s="45"/>
      <c r="T457" s="45"/>
      <c r="U457" s="45"/>
      <c r="V457" s="45"/>
      <c r="W457" s="45"/>
      <c r="X457" s="45"/>
      <c r="Y457" s="45"/>
      <c r="Z457" s="48" t="s">
        <v>642</v>
      </c>
      <c r="AA457" s="45" t="s">
        <v>642</v>
      </c>
      <c r="AB457" s="45">
        <v>0</v>
      </c>
      <c r="AD457"/>
    </row>
    <row r="458" spans="1:30" ht="12.75" customHeight="1">
      <c r="A458" s="45"/>
      <c r="B458" s="45"/>
      <c r="C458" s="45"/>
      <c r="D458" s="45"/>
      <c r="E458" s="45"/>
      <c r="F458" s="45"/>
      <c r="G458" s="45"/>
      <c r="H458" s="45"/>
      <c r="I458" s="45"/>
      <c r="J458" s="45"/>
      <c r="K458" s="45"/>
      <c r="L458" s="46"/>
      <c r="M458" s="45"/>
      <c r="N458" s="45"/>
      <c r="O458" s="45"/>
      <c r="P458" s="47"/>
      <c r="Q458" s="45"/>
      <c r="R458" s="45"/>
      <c r="S458" s="45"/>
      <c r="T458" s="45"/>
      <c r="U458" s="45"/>
      <c r="V458" s="45"/>
      <c r="W458" s="45"/>
      <c r="X458" s="45"/>
      <c r="Y458" s="45"/>
      <c r="Z458" s="48" t="s">
        <v>642</v>
      </c>
      <c r="AA458" s="45" t="s">
        <v>642</v>
      </c>
      <c r="AB458" s="45">
        <v>0</v>
      </c>
      <c r="AD458"/>
    </row>
    <row r="459" spans="1:30" ht="12.75" customHeight="1">
      <c r="A459" s="45"/>
      <c r="B459" s="45"/>
      <c r="C459" s="45"/>
      <c r="D459" s="45"/>
      <c r="E459" s="45"/>
      <c r="F459" s="45"/>
      <c r="G459" s="45"/>
      <c r="H459" s="45"/>
      <c r="I459" s="45"/>
      <c r="J459" s="45"/>
      <c r="K459" s="45"/>
      <c r="L459" s="46"/>
      <c r="M459" s="45"/>
      <c r="N459" s="45"/>
      <c r="O459" s="45"/>
      <c r="P459" s="47"/>
      <c r="Q459" s="45"/>
      <c r="R459" s="45"/>
      <c r="S459" s="45"/>
      <c r="T459" s="45"/>
      <c r="U459" s="45"/>
      <c r="V459" s="45"/>
      <c r="W459" s="45"/>
      <c r="X459" s="45"/>
      <c r="Y459" s="45"/>
      <c r="Z459" s="48" t="s">
        <v>642</v>
      </c>
      <c r="AA459" s="45" t="s">
        <v>642</v>
      </c>
      <c r="AB459" s="45">
        <v>0</v>
      </c>
      <c r="AD459"/>
    </row>
    <row r="460" spans="1:30" ht="12.75" customHeight="1">
      <c r="A460" s="45"/>
      <c r="B460" s="45"/>
      <c r="C460" s="45"/>
      <c r="D460" s="45"/>
      <c r="E460" s="45"/>
      <c r="F460" s="45"/>
      <c r="G460" s="45"/>
      <c r="H460" s="45"/>
      <c r="I460" s="45"/>
      <c r="J460" s="45"/>
      <c r="K460" s="45"/>
      <c r="L460" s="46"/>
      <c r="M460" s="45"/>
      <c r="N460" s="45"/>
      <c r="O460" s="45"/>
      <c r="P460" s="47"/>
      <c r="Q460" s="45"/>
      <c r="R460" s="45"/>
      <c r="S460" s="45"/>
      <c r="T460" s="45"/>
      <c r="U460" s="45"/>
      <c r="V460" s="45"/>
      <c r="W460" s="45"/>
      <c r="X460" s="45"/>
      <c r="Y460" s="45"/>
      <c r="Z460" s="48" t="s">
        <v>642</v>
      </c>
      <c r="AA460" s="45" t="s">
        <v>642</v>
      </c>
      <c r="AB460" s="45">
        <v>0</v>
      </c>
      <c r="AD460"/>
    </row>
    <row r="461" spans="1:30" ht="12.75" customHeight="1">
      <c r="A461" s="45"/>
      <c r="B461" s="45"/>
      <c r="C461" s="45"/>
      <c r="D461" s="45"/>
      <c r="E461" s="45"/>
      <c r="F461" s="45"/>
      <c r="G461" s="45"/>
      <c r="H461" s="45"/>
      <c r="I461" s="45"/>
      <c r="J461" s="45"/>
      <c r="K461" s="45"/>
      <c r="L461" s="46"/>
      <c r="M461" s="45"/>
      <c r="N461" s="45"/>
      <c r="O461" s="45"/>
      <c r="P461" s="47"/>
      <c r="Q461" s="45"/>
      <c r="R461" s="45"/>
      <c r="S461" s="45"/>
      <c r="T461" s="45"/>
      <c r="U461" s="45"/>
      <c r="V461" s="45"/>
      <c r="W461" s="45"/>
      <c r="X461" s="45"/>
      <c r="Y461" s="45"/>
      <c r="Z461" s="48" t="s">
        <v>642</v>
      </c>
      <c r="AA461" s="45" t="s">
        <v>642</v>
      </c>
      <c r="AB461" s="45">
        <v>0</v>
      </c>
      <c r="AD461"/>
    </row>
    <row r="462" spans="1:30" ht="12.75" customHeight="1">
      <c r="A462" s="45"/>
      <c r="B462" s="45"/>
      <c r="C462" s="45"/>
      <c r="D462" s="45"/>
      <c r="E462" s="45"/>
      <c r="F462" s="45"/>
      <c r="G462" s="45"/>
      <c r="H462" s="45"/>
      <c r="I462" s="45"/>
      <c r="J462" s="45"/>
      <c r="K462" s="45"/>
      <c r="L462" s="46"/>
      <c r="M462" s="45"/>
      <c r="N462" s="45"/>
      <c r="O462" s="45"/>
      <c r="P462" s="47"/>
      <c r="Q462" s="45"/>
      <c r="R462" s="45"/>
      <c r="S462" s="45"/>
      <c r="T462" s="45"/>
      <c r="U462" s="45"/>
      <c r="V462" s="45"/>
      <c r="W462" s="45"/>
      <c r="X462" s="45"/>
      <c r="Y462" s="45"/>
      <c r="Z462" s="48" t="s">
        <v>642</v>
      </c>
      <c r="AA462" s="45" t="s">
        <v>642</v>
      </c>
      <c r="AB462" s="45">
        <v>0</v>
      </c>
      <c r="AD462"/>
    </row>
    <row r="463" spans="1:30" ht="12.75" customHeight="1">
      <c r="A463" s="45"/>
      <c r="B463" s="45"/>
      <c r="C463" s="45"/>
      <c r="D463" s="45"/>
      <c r="E463" s="45"/>
      <c r="F463" s="45"/>
      <c r="G463" s="45"/>
      <c r="H463" s="45"/>
      <c r="I463" s="45"/>
      <c r="J463" s="45"/>
      <c r="K463" s="45"/>
      <c r="L463" s="46"/>
      <c r="M463" s="45"/>
      <c r="N463" s="45"/>
      <c r="O463" s="45"/>
      <c r="P463" s="47"/>
      <c r="Q463" s="45"/>
      <c r="R463" s="45"/>
      <c r="S463" s="45"/>
      <c r="T463" s="45"/>
      <c r="U463" s="45"/>
      <c r="V463" s="45"/>
      <c r="W463" s="45"/>
      <c r="X463" s="45"/>
      <c r="Y463" s="45"/>
      <c r="Z463" s="48" t="s">
        <v>642</v>
      </c>
      <c r="AA463" s="45" t="s">
        <v>642</v>
      </c>
      <c r="AB463" s="45">
        <v>0</v>
      </c>
      <c r="AD463"/>
    </row>
    <row r="464" spans="1:30" ht="12.75" customHeight="1">
      <c r="A464" s="45"/>
      <c r="B464" s="45"/>
      <c r="C464" s="45"/>
      <c r="D464" s="45"/>
      <c r="E464" s="45"/>
      <c r="F464" s="45"/>
      <c r="G464" s="45"/>
      <c r="H464" s="45"/>
      <c r="I464" s="45"/>
      <c r="J464" s="45"/>
      <c r="K464" s="45"/>
      <c r="L464" s="46"/>
      <c r="M464" s="45"/>
      <c r="N464" s="45"/>
      <c r="O464" s="45"/>
      <c r="P464" s="47"/>
      <c r="Q464" s="45"/>
      <c r="R464" s="45"/>
      <c r="S464" s="45"/>
      <c r="T464" s="45"/>
      <c r="U464" s="45"/>
      <c r="V464" s="45"/>
      <c r="W464" s="45"/>
      <c r="X464" s="45"/>
      <c r="Y464" s="45"/>
      <c r="Z464" s="48" t="s">
        <v>642</v>
      </c>
      <c r="AA464" s="45" t="s">
        <v>642</v>
      </c>
      <c r="AB464" s="45">
        <v>0</v>
      </c>
      <c r="AD464"/>
    </row>
    <row r="465" spans="1:30" ht="12.75" customHeight="1">
      <c r="A465" s="45"/>
      <c r="B465" s="45"/>
      <c r="C465" s="45"/>
      <c r="D465" s="45"/>
      <c r="E465" s="45"/>
      <c r="F465" s="45"/>
      <c r="G465" s="45"/>
      <c r="H465" s="45"/>
      <c r="I465" s="45"/>
      <c r="J465" s="45"/>
      <c r="K465" s="45"/>
      <c r="L465" s="46"/>
      <c r="M465" s="45"/>
      <c r="N465" s="45"/>
      <c r="O465" s="45"/>
      <c r="P465" s="47"/>
      <c r="Q465" s="45"/>
      <c r="R465" s="45"/>
      <c r="S465" s="45"/>
      <c r="T465" s="45"/>
      <c r="U465" s="45"/>
      <c r="V465" s="45"/>
      <c r="W465" s="45"/>
      <c r="X465" s="45"/>
      <c r="Y465" s="45"/>
      <c r="Z465" s="48" t="s">
        <v>642</v>
      </c>
      <c r="AA465" s="45" t="s">
        <v>642</v>
      </c>
      <c r="AB465" s="45">
        <v>0</v>
      </c>
      <c r="AD465"/>
    </row>
    <row r="466" spans="1:30" ht="12.75" customHeight="1">
      <c r="A466" s="45"/>
      <c r="B466" s="45"/>
      <c r="C466" s="45"/>
      <c r="D466" s="45"/>
      <c r="E466" s="45"/>
      <c r="F466" s="45"/>
      <c r="G466" s="45"/>
      <c r="H466" s="45"/>
      <c r="I466" s="45"/>
      <c r="J466" s="45"/>
      <c r="K466" s="45"/>
      <c r="L466" s="46"/>
      <c r="M466" s="45"/>
      <c r="N466" s="45"/>
      <c r="O466" s="45"/>
      <c r="P466" s="47"/>
      <c r="Q466" s="45"/>
      <c r="R466" s="45"/>
      <c r="S466" s="45"/>
      <c r="T466" s="45"/>
      <c r="U466" s="45"/>
      <c r="V466" s="45"/>
      <c r="W466" s="45"/>
      <c r="X466" s="45"/>
      <c r="Y466" s="45"/>
      <c r="Z466" s="48" t="s">
        <v>642</v>
      </c>
      <c r="AA466" s="45" t="s">
        <v>642</v>
      </c>
      <c r="AB466" s="45">
        <v>0</v>
      </c>
      <c r="AD466"/>
    </row>
    <row r="467" spans="1:30" ht="12.75" customHeight="1">
      <c r="A467" s="45"/>
      <c r="B467" s="45"/>
      <c r="C467" s="45"/>
      <c r="D467" s="45"/>
      <c r="E467" s="45"/>
      <c r="F467" s="45"/>
      <c r="G467" s="45"/>
      <c r="H467" s="45"/>
      <c r="I467" s="45"/>
      <c r="J467" s="45"/>
      <c r="K467" s="45"/>
      <c r="L467" s="46"/>
      <c r="M467" s="45"/>
      <c r="N467" s="45"/>
      <c r="O467" s="45"/>
      <c r="P467" s="47"/>
      <c r="Q467" s="45"/>
      <c r="R467" s="45"/>
      <c r="S467" s="45"/>
      <c r="T467" s="45"/>
      <c r="U467" s="45"/>
      <c r="V467" s="45"/>
      <c r="W467" s="45"/>
      <c r="X467" s="45"/>
      <c r="Y467" s="45"/>
      <c r="Z467" s="48" t="s">
        <v>642</v>
      </c>
      <c r="AA467" s="45" t="s">
        <v>642</v>
      </c>
      <c r="AB467" s="45">
        <v>0</v>
      </c>
      <c r="AD467"/>
    </row>
    <row r="468" spans="1:30" ht="12.75" customHeight="1">
      <c r="A468" s="45"/>
      <c r="B468" s="45"/>
      <c r="C468" s="45"/>
      <c r="D468" s="45"/>
      <c r="E468" s="45"/>
      <c r="F468" s="45"/>
      <c r="G468" s="45"/>
      <c r="H468" s="45"/>
      <c r="I468" s="45"/>
      <c r="J468" s="45"/>
      <c r="K468" s="45"/>
      <c r="L468" s="46"/>
      <c r="M468" s="45"/>
      <c r="N468" s="45"/>
      <c r="O468" s="45"/>
      <c r="P468" s="47"/>
      <c r="Q468" s="45"/>
      <c r="R468" s="45"/>
      <c r="S468" s="45"/>
      <c r="T468" s="45"/>
      <c r="U468" s="45"/>
      <c r="V468" s="45"/>
      <c r="W468" s="45"/>
      <c r="X468" s="45"/>
      <c r="Y468" s="45"/>
      <c r="Z468" s="48" t="s">
        <v>642</v>
      </c>
      <c r="AA468" s="45" t="s">
        <v>642</v>
      </c>
      <c r="AB468" s="45">
        <v>0</v>
      </c>
      <c r="AD468"/>
    </row>
    <row r="469" spans="1:30" ht="12.75" customHeight="1">
      <c r="A469" s="45"/>
      <c r="B469" s="45"/>
      <c r="C469" s="45"/>
      <c r="D469" s="45"/>
      <c r="E469" s="45"/>
      <c r="F469" s="45"/>
      <c r="G469" s="45"/>
      <c r="H469" s="45"/>
      <c r="I469" s="45"/>
      <c r="J469" s="45"/>
      <c r="K469" s="45"/>
      <c r="L469" s="46"/>
      <c r="M469" s="45"/>
      <c r="N469" s="45"/>
      <c r="O469" s="45"/>
      <c r="P469" s="47"/>
      <c r="Q469" s="45"/>
      <c r="R469" s="45"/>
      <c r="S469" s="45"/>
      <c r="T469" s="45"/>
      <c r="U469" s="45"/>
      <c r="V469" s="45"/>
      <c r="W469" s="45"/>
      <c r="X469" s="45"/>
      <c r="Y469" s="45"/>
      <c r="Z469" s="48" t="s">
        <v>642</v>
      </c>
      <c r="AA469" s="45" t="s">
        <v>642</v>
      </c>
      <c r="AB469" s="45">
        <v>0</v>
      </c>
      <c r="AD469"/>
    </row>
    <row r="470" spans="1:30" ht="12.75" customHeight="1">
      <c r="A470" s="45"/>
      <c r="B470" s="45"/>
      <c r="C470" s="45"/>
      <c r="D470" s="45"/>
      <c r="E470" s="45"/>
      <c r="F470" s="45"/>
      <c r="G470" s="45"/>
      <c r="H470" s="45"/>
      <c r="I470" s="45"/>
      <c r="J470" s="45"/>
      <c r="K470" s="45"/>
      <c r="L470" s="46"/>
      <c r="M470" s="45"/>
      <c r="N470" s="45"/>
      <c r="O470" s="45"/>
      <c r="P470" s="47"/>
      <c r="Q470" s="45"/>
      <c r="R470" s="45"/>
      <c r="S470" s="45"/>
      <c r="T470" s="45"/>
      <c r="U470" s="45"/>
      <c r="V470" s="45"/>
      <c r="W470" s="45"/>
      <c r="X470" s="45"/>
      <c r="Y470" s="45"/>
      <c r="Z470" s="48" t="s">
        <v>642</v>
      </c>
      <c r="AA470" s="45" t="s">
        <v>642</v>
      </c>
      <c r="AB470" s="45">
        <v>0</v>
      </c>
      <c r="AD470"/>
    </row>
    <row r="471" spans="1:30" ht="12.75" customHeight="1">
      <c r="A471" s="45"/>
      <c r="B471" s="45"/>
      <c r="C471" s="45"/>
      <c r="D471" s="45"/>
      <c r="E471" s="45"/>
      <c r="F471" s="45"/>
      <c r="G471" s="45"/>
      <c r="H471" s="45"/>
      <c r="I471" s="45"/>
      <c r="J471" s="45"/>
      <c r="K471" s="45"/>
      <c r="L471" s="46"/>
      <c r="M471" s="45"/>
      <c r="N471" s="45"/>
      <c r="O471" s="45"/>
      <c r="P471" s="47"/>
      <c r="Q471" s="45"/>
      <c r="R471" s="45"/>
      <c r="S471" s="45"/>
      <c r="T471" s="45"/>
      <c r="U471" s="45"/>
      <c r="V471" s="45"/>
      <c r="W471" s="45"/>
      <c r="X471" s="45"/>
      <c r="Y471" s="45"/>
      <c r="Z471" s="48" t="s">
        <v>642</v>
      </c>
      <c r="AA471" s="45" t="s">
        <v>642</v>
      </c>
      <c r="AB471" s="45">
        <v>0</v>
      </c>
      <c r="AD471"/>
    </row>
    <row r="472" spans="1:30" ht="12.75" customHeight="1">
      <c r="A472" s="45"/>
      <c r="B472" s="45"/>
      <c r="C472" s="45"/>
      <c r="D472" s="45"/>
      <c r="E472" s="45"/>
      <c r="F472" s="45"/>
      <c r="G472" s="45"/>
      <c r="H472" s="45"/>
      <c r="I472" s="45"/>
      <c r="J472" s="45"/>
      <c r="K472" s="45"/>
      <c r="L472" s="46"/>
      <c r="M472" s="45"/>
      <c r="N472" s="45"/>
      <c r="O472" s="45"/>
      <c r="P472" s="47"/>
      <c r="Q472" s="45"/>
      <c r="R472" s="45"/>
      <c r="S472" s="45"/>
      <c r="T472" s="45"/>
      <c r="U472" s="45"/>
      <c r="V472" s="45"/>
      <c r="W472" s="45"/>
      <c r="X472" s="45"/>
      <c r="Y472" s="45"/>
      <c r="Z472" s="48" t="s">
        <v>642</v>
      </c>
      <c r="AA472" s="45" t="s">
        <v>642</v>
      </c>
      <c r="AB472" s="45">
        <v>0</v>
      </c>
      <c r="AD472"/>
    </row>
    <row r="473" spans="1:30" ht="12.75" customHeight="1">
      <c r="A473" s="45"/>
      <c r="B473" s="45"/>
      <c r="C473" s="45"/>
      <c r="D473" s="45"/>
      <c r="E473" s="45"/>
      <c r="F473" s="45"/>
      <c r="G473" s="45"/>
      <c r="H473" s="45"/>
      <c r="I473" s="45"/>
      <c r="J473" s="45"/>
      <c r="K473" s="45"/>
      <c r="L473" s="46"/>
      <c r="M473" s="45"/>
      <c r="N473" s="45"/>
      <c r="O473" s="45"/>
      <c r="P473" s="47"/>
      <c r="Q473" s="45"/>
      <c r="R473" s="45"/>
      <c r="S473" s="45"/>
      <c r="T473" s="45"/>
      <c r="U473" s="45"/>
      <c r="V473" s="45"/>
      <c r="W473" s="45"/>
      <c r="X473" s="45"/>
      <c r="Y473" s="45"/>
      <c r="Z473" s="48" t="s">
        <v>642</v>
      </c>
      <c r="AA473" s="45" t="s">
        <v>642</v>
      </c>
      <c r="AB473" s="45">
        <v>0</v>
      </c>
      <c r="AD473"/>
    </row>
    <row r="474" spans="1:30" ht="12.75" customHeight="1">
      <c r="A474" s="45"/>
      <c r="B474" s="45"/>
      <c r="C474" s="45"/>
      <c r="D474" s="45"/>
      <c r="E474" s="45"/>
      <c r="F474" s="45"/>
      <c r="G474" s="45"/>
      <c r="H474" s="45"/>
      <c r="I474" s="45"/>
      <c r="J474" s="45"/>
      <c r="K474" s="45"/>
      <c r="L474" s="46"/>
      <c r="M474" s="45"/>
      <c r="N474" s="45"/>
      <c r="O474" s="45"/>
      <c r="P474" s="47"/>
      <c r="Q474" s="45"/>
      <c r="R474" s="45"/>
      <c r="S474" s="45"/>
      <c r="T474" s="45"/>
      <c r="U474" s="45"/>
      <c r="V474" s="45"/>
      <c r="W474" s="45"/>
      <c r="X474" s="45"/>
      <c r="Y474" s="45"/>
      <c r="Z474" s="48" t="s">
        <v>642</v>
      </c>
      <c r="AA474" s="45" t="s">
        <v>642</v>
      </c>
      <c r="AB474" s="45">
        <v>0</v>
      </c>
      <c r="AD474"/>
    </row>
    <row r="475" spans="1:30" ht="12.75" customHeight="1">
      <c r="A475" s="45"/>
      <c r="B475" s="45"/>
      <c r="C475" s="45"/>
      <c r="D475" s="45"/>
      <c r="E475" s="45"/>
      <c r="F475" s="45"/>
      <c r="G475" s="45"/>
      <c r="H475" s="45"/>
      <c r="I475" s="45"/>
      <c r="J475" s="45"/>
      <c r="K475" s="45"/>
      <c r="L475" s="46"/>
      <c r="M475" s="45"/>
      <c r="N475" s="45"/>
      <c r="O475" s="45"/>
      <c r="P475" s="47"/>
      <c r="Q475" s="45"/>
      <c r="R475" s="45"/>
      <c r="S475" s="45"/>
      <c r="T475" s="45"/>
      <c r="U475" s="45"/>
      <c r="V475" s="45"/>
      <c r="W475" s="45"/>
      <c r="X475" s="45"/>
      <c r="Y475" s="45"/>
      <c r="Z475" s="48" t="s">
        <v>642</v>
      </c>
      <c r="AA475" s="45" t="s">
        <v>642</v>
      </c>
      <c r="AB475" s="45">
        <v>0</v>
      </c>
      <c r="AD475"/>
    </row>
    <row r="476" spans="1:30" ht="12.75" customHeight="1">
      <c r="A476" s="45"/>
      <c r="B476" s="45"/>
      <c r="C476" s="45"/>
      <c r="D476" s="45"/>
      <c r="E476" s="45"/>
      <c r="F476" s="45"/>
      <c r="G476" s="45"/>
      <c r="H476" s="45"/>
      <c r="I476" s="45"/>
      <c r="J476" s="45"/>
      <c r="K476" s="45"/>
      <c r="L476" s="46"/>
      <c r="M476" s="45"/>
      <c r="N476" s="45"/>
      <c r="O476" s="45"/>
      <c r="P476" s="47"/>
      <c r="Q476" s="45"/>
      <c r="R476" s="45"/>
      <c r="S476" s="45"/>
      <c r="T476" s="45"/>
      <c r="U476" s="45"/>
      <c r="V476" s="45"/>
      <c r="W476" s="45"/>
      <c r="X476" s="45"/>
      <c r="Y476" s="45"/>
      <c r="Z476" s="48" t="s">
        <v>642</v>
      </c>
      <c r="AA476" s="45" t="s">
        <v>642</v>
      </c>
      <c r="AB476" s="45">
        <v>0</v>
      </c>
      <c r="AD476"/>
    </row>
    <row r="477" spans="1:30" ht="12.75" customHeight="1">
      <c r="A477" s="45"/>
      <c r="B477" s="45"/>
      <c r="C477" s="45"/>
      <c r="D477" s="45"/>
      <c r="E477" s="45"/>
      <c r="F477" s="45"/>
      <c r="G477" s="45"/>
      <c r="H477" s="45"/>
      <c r="I477" s="45"/>
      <c r="J477" s="45"/>
      <c r="K477" s="45"/>
      <c r="L477" s="46"/>
      <c r="M477" s="45"/>
      <c r="N477" s="45"/>
      <c r="O477" s="45"/>
      <c r="P477" s="47"/>
      <c r="Q477" s="45"/>
      <c r="R477" s="45"/>
      <c r="S477" s="45"/>
      <c r="T477" s="45"/>
      <c r="U477" s="45"/>
      <c r="V477" s="45"/>
      <c r="W477" s="45"/>
      <c r="X477" s="45"/>
      <c r="Y477" s="45"/>
      <c r="Z477" s="48" t="s">
        <v>642</v>
      </c>
      <c r="AA477" s="45" t="s">
        <v>642</v>
      </c>
      <c r="AB477" s="45">
        <v>0</v>
      </c>
      <c r="AD477"/>
    </row>
    <row r="478" spans="1:30" ht="12.75" customHeight="1">
      <c r="A478" s="45"/>
      <c r="B478" s="45"/>
      <c r="C478" s="45"/>
      <c r="D478" s="45"/>
      <c r="E478" s="45"/>
      <c r="F478" s="45"/>
      <c r="G478" s="45"/>
      <c r="H478" s="45"/>
      <c r="I478" s="45"/>
      <c r="J478" s="45"/>
      <c r="K478" s="45"/>
      <c r="L478" s="46"/>
      <c r="M478" s="45"/>
      <c r="N478" s="45"/>
      <c r="O478" s="45"/>
      <c r="P478" s="47"/>
      <c r="Q478" s="45"/>
      <c r="R478" s="45"/>
      <c r="S478" s="45"/>
      <c r="T478" s="45"/>
      <c r="U478" s="45"/>
      <c r="V478" s="45"/>
      <c r="W478" s="45"/>
      <c r="X478" s="45"/>
      <c r="Y478" s="45"/>
      <c r="Z478" s="48" t="s">
        <v>642</v>
      </c>
      <c r="AA478" s="45" t="s">
        <v>642</v>
      </c>
      <c r="AB478" s="45">
        <v>0</v>
      </c>
      <c r="AD478"/>
    </row>
    <row r="479" spans="1:30" ht="12.75" customHeight="1">
      <c r="A479" s="45"/>
      <c r="B479" s="45"/>
      <c r="C479" s="45"/>
      <c r="D479" s="45"/>
      <c r="E479" s="45"/>
      <c r="F479" s="45"/>
      <c r="G479" s="45"/>
      <c r="H479" s="45"/>
      <c r="I479" s="45"/>
      <c r="J479" s="45"/>
      <c r="K479" s="45"/>
      <c r="L479" s="46"/>
      <c r="M479" s="45"/>
      <c r="N479" s="45"/>
      <c r="O479" s="45"/>
      <c r="P479" s="47"/>
      <c r="Q479" s="45"/>
      <c r="R479" s="45"/>
      <c r="S479" s="45"/>
      <c r="T479" s="45"/>
      <c r="U479" s="45"/>
      <c r="V479" s="45"/>
      <c r="W479" s="45"/>
      <c r="X479" s="45"/>
      <c r="Y479" s="45"/>
      <c r="Z479" s="48" t="s">
        <v>642</v>
      </c>
      <c r="AA479" s="45" t="s">
        <v>642</v>
      </c>
      <c r="AB479" s="45">
        <v>0</v>
      </c>
      <c r="AD479"/>
    </row>
    <row r="480" spans="1:30" ht="12.75" customHeight="1">
      <c r="A480" s="45"/>
      <c r="B480" s="45"/>
      <c r="C480" s="45"/>
      <c r="D480" s="45"/>
      <c r="E480" s="45"/>
      <c r="F480" s="45"/>
      <c r="G480" s="45"/>
      <c r="H480" s="45"/>
      <c r="I480" s="45"/>
      <c r="J480" s="45"/>
      <c r="K480" s="45"/>
      <c r="L480" s="46"/>
      <c r="M480" s="45"/>
      <c r="N480" s="45"/>
      <c r="O480" s="45"/>
      <c r="P480" s="47"/>
      <c r="Q480" s="45"/>
      <c r="R480" s="45"/>
      <c r="S480" s="45"/>
      <c r="T480" s="45"/>
      <c r="U480" s="45"/>
      <c r="V480" s="45"/>
      <c r="W480" s="45"/>
      <c r="X480" s="45"/>
      <c r="Y480" s="45"/>
      <c r="Z480" s="48" t="s">
        <v>642</v>
      </c>
      <c r="AA480" s="45" t="s">
        <v>642</v>
      </c>
      <c r="AB480" s="45">
        <v>0</v>
      </c>
      <c r="AD480"/>
    </row>
    <row r="481" spans="1:30" ht="12.75" customHeight="1">
      <c r="A481" s="45"/>
      <c r="B481" s="45"/>
      <c r="C481" s="45"/>
      <c r="D481" s="45"/>
      <c r="E481" s="45"/>
      <c r="F481" s="45"/>
      <c r="G481" s="45"/>
      <c r="H481" s="45"/>
      <c r="I481" s="45"/>
      <c r="J481" s="45"/>
      <c r="K481" s="45"/>
      <c r="L481" s="46"/>
      <c r="M481" s="45"/>
      <c r="N481" s="45"/>
      <c r="O481" s="45"/>
      <c r="P481" s="47"/>
      <c r="Q481" s="45"/>
      <c r="R481" s="45"/>
      <c r="S481" s="45"/>
      <c r="T481" s="45"/>
      <c r="U481" s="45"/>
      <c r="V481" s="45"/>
      <c r="W481" s="45"/>
      <c r="X481" s="45"/>
      <c r="Y481" s="45"/>
      <c r="Z481" s="48" t="s">
        <v>642</v>
      </c>
      <c r="AA481" s="45" t="s">
        <v>642</v>
      </c>
      <c r="AB481" s="45">
        <v>0</v>
      </c>
      <c r="AD481"/>
    </row>
    <row r="482" spans="1:30" ht="12.75" customHeight="1">
      <c r="A482" s="45"/>
      <c r="B482" s="45"/>
      <c r="C482" s="45"/>
      <c r="D482" s="45"/>
      <c r="E482" s="45"/>
      <c r="F482" s="45"/>
      <c r="G482" s="45"/>
      <c r="H482" s="45"/>
      <c r="I482" s="45"/>
      <c r="J482" s="45"/>
      <c r="K482" s="45"/>
      <c r="L482" s="46"/>
      <c r="M482" s="45"/>
      <c r="N482" s="45"/>
      <c r="O482" s="45"/>
      <c r="P482" s="47"/>
      <c r="Q482" s="45"/>
      <c r="R482" s="45"/>
      <c r="S482" s="45"/>
      <c r="T482" s="45"/>
      <c r="U482" s="45"/>
      <c r="V482" s="45"/>
      <c r="W482" s="45"/>
      <c r="X482" s="45"/>
      <c r="Y482" s="45"/>
      <c r="Z482" s="48" t="s">
        <v>642</v>
      </c>
      <c r="AA482" s="45" t="s">
        <v>642</v>
      </c>
      <c r="AB482" s="45">
        <v>0</v>
      </c>
      <c r="AD482"/>
    </row>
    <row r="483" spans="1:30" ht="12.75" customHeight="1">
      <c r="A483" s="45"/>
      <c r="B483" s="45"/>
      <c r="C483" s="45"/>
      <c r="D483" s="45"/>
      <c r="E483" s="45"/>
      <c r="F483" s="45"/>
      <c r="G483" s="45"/>
      <c r="H483" s="45"/>
      <c r="I483" s="45"/>
      <c r="J483" s="45"/>
      <c r="K483" s="45"/>
      <c r="L483" s="46"/>
      <c r="M483" s="45"/>
      <c r="N483" s="45"/>
      <c r="O483" s="45"/>
      <c r="P483" s="47"/>
      <c r="Q483" s="45"/>
      <c r="R483" s="45"/>
      <c r="S483" s="45"/>
      <c r="T483" s="45"/>
      <c r="U483" s="45"/>
      <c r="V483" s="45"/>
      <c r="W483" s="45"/>
      <c r="X483" s="45"/>
      <c r="Y483" s="45"/>
      <c r="Z483" s="48" t="s">
        <v>642</v>
      </c>
      <c r="AA483" s="45" t="s">
        <v>642</v>
      </c>
      <c r="AB483" s="45">
        <v>0</v>
      </c>
      <c r="AD483"/>
    </row>
    <row r="484" spans="1:30" ht="12.75" customHeight="1">
      <c r="A484" s="45"/>
      <c r="B484" s="45"/>
      <c r="C484" s="45"/>
      <c r="D484" s="45"/>
      <c r="E484" s="45"/>
      <c r="F484" s="45"/>
      <c r="G484" s="45"/>
      <c r="H484" s="45"/>
      <c r="I484" s="45"/>
      <c r="J484" s="45"/>
      <c r="K484" s="45"/>
      <c r="L484" s="46"/>
      <c r="M484" s="45"/>
      <c r="N484" s="45"/>
      <c r="O484" s="45"/>
      <c r="P484" s="47"/>
      <c r="Q484" s="45"/>
      <c r="R484" s="45"/>
      <c r="S484" s="45"/>
      <c r="T484" s="45"/>
      <c r="U484" s="45"/>
      <c r="V484" s="45"/>
      <c r="W484" s="45"/>
      <c r="X484" s="45"/>
      <c r="Y484" s="45"/>
      <c r="Z484" s="48" t="s">
        <v>642</v>
      </c>
      <c r="AA484" s="45" t="s">
        <v>642</v>
      </c>
      <c r="AB484" s="45">
        <v>0</v>
      </c>
      <c r="AD484"/>
    </row>
    <row r="485" spans="1:30" ht="12.75" customHeight="1">
      <c r="A485" s="45"/>
      <c r="B485" s="45"/>
      <c r="C485" s="45"/>
      <c r="D485" s="45"/>
      <c r="E485" s="45"/>
      <c r="F485" s="45"/>
      <c r="G485" s="45"/>
      <c r="H485" s="45"/>
      <c r="I485" s="45"/>
      <c r="J485" s="45"/>
      <c r="K485" s="45"/>
      <c r="L485" s="46"/>
      <c r="M485" s="45"/>
      <c r="N485" s="45"/>
      <c r="O485" s="45"/>
      <c r="P485" s="47"/>
      <c r="Q485" s="45"/>
      <c r="R485" s="45"/>
      <c r="S485" s="45"/>
      <c r="T485" s="45"/>
      <c r="U485" s="45"/>
      <c r="V485" s="45"/>
      <c r="W485" s="45"/>
      <c r="X485" s="45"/>
      <c r="Y485" s="45"/>
      <c r="Z485" s="48" t="s">
        <v>642</v>
      </c>
      <c r="AA485" s="45" t="s">
        <v>642</v>
      </c>
      <c r="AB485" s="45">
        <v>0</v>
      </c>
      <c r="AD485"/>
    </row>
    <row r="486" spans="1:30" ht="12.75" customHeight="1">
      <c r="A486" s="45"/>
      <c r="B486" s="45"/>
      <c r="C486" s="45"/>
      <c r="D486" s="45"/>
      <c r="E486" s="45"/>
      <c r="F486" s="45"/>
      <c r="G486" s="45"/>
      <c r="H486" s="45"/>
      <c r="I486" s="45"/>
      <c r="J486" s="45"/>
      <c r="K486" s="45"/>
      <c r="L486" s="46"/>
      <c r="M486" s="45"/>
      <c r="N486" s="45"/>
      <c r="O486" s="45"/>
      <c r="P486" s="47"/>
      <c r="Q486" s="45"/>
      <c r="R486" s="45"/>
      <c r="S486" s="45"/>
      <c r="T486" s="45"/>
      <c r="U486" s="45"/>
      <c r="V486" s="45"/>
      <c r="W486" s="45"/>
      <c r="X486" s="45"/>
      <c r="Y486" s="45"/>
      <c r="Z486" s="48" t="s">
        <v>642</v>
      </c>
      <c r="AA486" s="45" t="s">
        <v>642</v>
      </c>
      <c r="AB486" s="45">
        <v>0</v>
      </c>
      <c r="AD486"/>
    </row>
    <row r="487" spans="1:30" ht="12.75" customHeight="1">
      <c r="A487" s="45"/>
      <c r="B487" s="45"/>
      <c r="C487" s="45"/>
      <c r="D487" s="45"/>
      <c r="E487" s="45"/>
      <c r="F487" s="45"/>
      <c r="G487" s="45"/>
      <c r="H487" s="45"/>
      <c r="I487" s="45"/>
      <c r="J487" s="45"/>
      <c r="K487" s="45"/>
      <c r="L487" s="46"/>
      <c r="M487" s="45"/>
      <c r="N487" s="45"/>
      <c r="O487" s="45"/>
      <c r="P487" s="47"/>
      <c r="Q487" s="45"/>
      <c r="R487" s="45"/>
      <c r="S487" s="45"/>
      <c r="T487" s="45"/>
      <c r="U487" s="45"/>
      <c r="V487" s="45"/>
      <c r="W487" s="45"/>
      <c r="X487" s="45"/>
      <c r="Y487" s="45"/>
      <c r="Z487" s="48" t="s">
        <v>642</v>
      </c>
      <c r="AA487" s="45" t="s">
        <v>642</v>
      </c>
      <c r="AB487" s="45">
        <v>0</v>
      </c>
      <c r="AD487"/>
    </row>
    <row r="488" spans="1:30" ht="12.75" customHeight="1">
      <c r="A488" s="45"/>
      <c r="B488" s="45"/>
      <c r="C488" s="45"/>
      <c r="D488" s="45"/>
      <c r="E488" s="45"/>
      <c r="F488" s="45"/>
      <c r="G488" s="45"/>
      <c r="H488" s="45"/>
      <c r="I488" s="45"/>
      <c r="J488" s="45"/>
      <c r="K488" s="45"/>
      <c r="L488" s="46"/>
      <c r="M488" s="45"/>
      <c r="N488" s="45"/>
      <c r="O488" s="45"/>
      <c r="P488" s="47"/>
      <c r="Q488" s="45"/>
      <c r="R488" s="45"/>
      <c r="S488" s="45"/>
      <c r="T488" s="45"/>
      <c r="U488" s="45"/>
      <c r="V488" s="45"/>
      <c r="W488" s="45"/>
      <c r="X488" s="45"/>
      <c r="Y488" s="45"/>
      <c r="Z488" s="48" t="s">
        <v>642</v>
      </c>
      <c r="AA488" s="45" t="s">
        <v>642</v>
      </c>
      <c r="AB488" s="45">
        <v>0</v>
      </c>
      <c r="AD488"/>
    </row>
    <row r="489" spans="1:30" ht="12.75" customHeight="1">
      <c r="A489" s="45"/>
      <c r="B489" s="45"/>
      <c r="C489" s="45"/>
      <c r="D489" s="45"/>
      <c r="E489" s="45"/>
      <c r="F489" s="45"/>
      <c r="G489" s="45"/>
      <c r="H489" s="45"/>
      <c r="I489" s="45"/>
      <c r="J489" s="45"/>
      <c r="K489" s="45"/>
      <c r="L489" s="46"/>
      <c r="M489" s="45"/>
      <c r="N489" s="45"/>
      <c r="O489" s="45"/>
      <c r="P489" s="47"/>
      <c r="Q489" s="45"/>
      <c r="R489" s="45"/>
      <c r="S489" s="45"/>
      <c r="T489" s="45"/>
      <c r="U489" s="45"/>
      <c r="V489" s="45"/>
      <c r="W489" s="45"/>
      <c r="X489" s="45"/>
      <c r="Y489" s="45"/>
      <c r="Z489" s="48" t="s">
        <v>642</v>
      </c>
      <c r="AA489" s="45" t="s">
        <v>642</v>
      </c>
      <c r="AB489" s="45">
        <v>0</v>
      </c>
      <c r="AD489"/>
    </row>
    <row r="490" spans="1:30" ht="12.75" customHeight="1">
      <c r="A490" s="45"/>
      <c r="B490" s="45"/>
      <c r="C490" s="45"/>
      <c r="D490" s="45"/>
      <c r="E490" s="45"/>
      <c r="F490" s="45"/>
      <c r="G490" s="45"/>
      <c r="H490" s="45"/>
      <c r="I490" s="45"/>
      <c r="J490" s="45"/>
      <c r="K490" s="45"/>
      <c r="L490" s="46"/>
      <c r="M490" s="45"/>
      <c r="N490" s="45"/>
      <c r="O490" s="45"/>
      <c r="P490" s="47"/>
      <c r="Q490" s="45"/>
      <c r="R490" s="45"/>
      <c r="S490" s="45"/>
      <c r="T490" s="45"/>
      <c r="U490" s="45"/>
      <c r="V490" s="45"/>
      <c r="W490" s="45"/>
      <c r="X490" s="45"/>
      <c r="Y490" s="45"/>
      <c r="Z490" s="48" t="s">
        <v>642</v>
      </c>
      <c r="AA490" s="45" t="s">
        <v>642</v>
      </c>
      <c r="AB490" s="45">
        <v>0</v>
      </c>
      <c r="AD490"/>
    </row>
    <row r="491" spans="1:30" ht="12.75" customHeight="1">
      <c r="A491" s="45"/>
      <c r="B491" s="45"/>
      <c r="C491" s="45"/>
      <c r="D491" s="45"/>
      <c r="E491" s="45"/>
      <c r="F491" s="45"/>
      <c r="G491" s="45"/>
      <c r="H491" s="45"/>
      <c r="I491" s="45"/>
      <c r="J491" s="45"/>
      <c r="K491" s="45"/>
      <c r="L491" s="46"/>
      <c r="M491" s="45"/>
      <c r="N491" s="45"/>
      <c r="O491" s="45"/>
      <c r="P491" s="47"/>
      <c r="Q491" s="45"/>
      <c r="R491" s="45"/>
      <c r="S491" s="45"/>
      <c r="T491" s="45"/>
      <c r="U491" s="45"/>
      <c r="V491" s="45"/>
      <c r="W491" s="45"/>
      <c r="X491" s="45"/>
      <c r="Y491" s="45"/>
      <c r="Z491" s="48" t="s">
        <v>642</v>
      </c>
      <c r="AA491" s="45" t="s">
        <v>642</v>
      </c>
      <c r="AB491" s="45">
        <v>0</v>
      </c>
      <c r="AD491"/>
    </row>
    <row r="492" spans="1:30" ht="12.75" customHeight="1">
      <c r="A492" s="45"/>
      <c r="B492" s="45"/>
      <c r="C492" s="45"/>
      <c r="D492" s="45"/>
      <c r="E492" s="45"/>
      <c r="F492" s="45"/>
      <c r="G492" s="45"/>
      <c r="H492" s="45"/>
      <c r="I492" s="45"/>
      <c r="J492" s="45"/>
      <c r="K492" s="45"/>
      <c r="L492" s="46"/>
      <c r="M492" s="45"/>
      <c r="N492" s="45"/>
      <c r="O492" s="45"/>
      <c r="P492" s="47"/>
      <c r="Q492" s="45"/>
      <c r="R492" s="45"/>
      <c r="S492" s="45"/>
      <c r="T492" s="45"/>
      <c r="U492" s="45"/>
      <c r="V492" s="45"/>
      <c r="W492" s="45"/>
      <c r="X492" s="45"/>
      <c r="Y492" s="45"/>
      <c r="Z492" s="48" t="s">
        <v>642</v>
      </c>
      <c r="AA492" s="45" t="s">
        <v>642</v>
      </c>
      <c r="AB492" s="45">
        <v>0</v>
      </c>
      <c r="AD492"/>
    </row>
    <row r="493" spans="1:30" ht="12.75" customHeight="1">
      <c r="A493" s="45"/>
      <c r="B493" s="45"/>
      <c r="C493" s="45"/>
      <c r="D493" s="45"/>
      <c r="E493" s="45"/>
      <c r="F493" s="45"/>
      <c r="G493" s="45"/>
      <c r="H493" s="45"/>
      <c r="I493" s="45"/>
      <c r="J493" s="45"/>
      <c r="K493" s="45"/>
      <c r="L493" s="46"/>
      <c r="M493" s="45"/>
      <c r="N493" s="45"/>
      <c r="O493" s="45"/>
      <c r="P493" s="47"/>
      <c r="Q493" s="45"/>
      <c r="R493" s="45"/>
      <c r="S493" s="45"/>
      <c r="T493" s="45"/>
      <c r="U493" s="45"/>
      <c r="V493" s="45"/>
      <c r="W493" s="45"/>
      <c r="X493" s="45"/>
      <c r="Y493" s="45"/>
      <c r="Z493" s="48" t="s">
        <v>642</v>
      </c>
      <c r="AA493" s="45" t="s">
        <v>642</v>
      </c>
      <c r="AB493" s="45">
        <v>0</v>
      </c>
      <c r="AD493"/>
    </row>
    <row r="494" spans="1:30" ht="12.75" customHeight="1">
      <c r="A494" s="45"/>
      <c r="B494" s="45"/>
      <c r="C494" s="45"/>
      <c r="D494" s="45"/>
      <c r="E494" s="45"/>
      <c r="F494" s="45"/>
      <c r="G494" s="45"/>
      <c r="H494" s="45"/>
      <c r="I494" s="45"/>
      <c r="J494" s="45"/>
      <c r="K494" s="45"/>
      <c r="L494" s="46"/>
      <c r="M494" s="45"/>
      <c r="N494" s="45"/>
      <c r="O494" s="45"/>
      <c r="P494" s="47"/>
      <c r="Q494" s="45"/>
      <c r="R494" s="45"/>
      <c r="S494" s="45"/>
      <c r="T494" s="45"/>
      <c r="U494" s="45"/>
      <c r="V494" s="45"/>
      <c r="W494" s="45"/>
      <c r="X494" s="45"/>
      <c r="Y494" s="45"/>
      <c r="Z494" s="48" t="s">
        <v>642</v>
      </c>
      <c r="AA494" s="45" t="s">
        <v>642</v>
      </c>
      <c r="AB494" s="45">
        <v>0</v>
      </c>
      <c r="AD494"/>
    </row>
    <row r="495" spans="1:30" ht="12.75" customHeight="1">
      <c r="A495" s="45"/>
      <c r="B495" s="45"/>
      <c r="C495" s="45"/>
      <c r="D495" s="45"/>
      <c r="E495" s="45"/>
      <c r="F495" s="45"/>
      <c r="G495" s="45"/>
      <c r="H495" s="45"/>
      <c r="I495" s="45"/>
      <c r="J495" s="45"/>
      <c r="K495" s="45"/>
      <c r="L495" s="46"/>
      <c r="M495" s="45"/>
      <c r="N495" s="45"/>
      <c r="O495" s="45"/>
      <c r="P495" s="47"/>
      <c r="Q495" s="45"/>
      <c r="R495" s="45"/>
      <c r="S495" s="45"/>
      <c r="T495" s="45"/>
      <c r="U495" s="45"/>
      <c r="V495" s="45"/>
      <c r="W495" s="45"/>
      <c r="X495" s="45"/>
      <c r="Y495" s="45"/>
      <c r="Z495" s="48" t="s">
        <v>642</v>
      </c>
      <c r="AA495" s="45" t="s">
        <v>642</v>
      </c>
      <c r="AB495" s="45">
        <v>0</v>
      </c>
      <c r="AD495"/>
    </row>
    <row r="496" spans="1:30" ht="12.75" customHeight="1">
      <c r="A496" s="45"/>
      <c r="B496" s="45"/>
      <c r="C496" s="45"/>
      <c r="D496" s="45"/>
      <c r="E496" s="45"/>
      <c r="F496" s="45"/>
      <c r="G496" s="45"/>
      <c r="H496" s="45"/>
      <c r="I496" s="45"/>
      <c r="J496" s="45"/>
      <c r="K496" s="45"/>
      <c r="L496" s="46"/>
      <c r="M496" s="45"/>
      <c r="N496" s="45"/>
      <c r="O496" s="45"/>
      <c r="P496" s="47"/>
      <c r="Q496" s="45"/>
      <c r="R496" s="45"/>
      <c r="S496" s="45"/>
      <c r="T496" s="45"/>
      <c r="U496" s="45"/>
      <c r="V496" s="45"/>
      <c r="W496" s="45"/>
      <c r="X496" s="45"/>
      <c r="Y496" s="45"/>
      <c r="Z496" s="48" t="s">
        <v>642</v>
      </c>
      <c r="AA496" s="45" t="s">
        <v>642</v>
      </c>
      <c r="AB496" s="45">
        <v>0</v>
      </c>
      <c r="AD496"/>
    </row>
    <row r="497" spans="1:30" ht="12.75" customHeight="1">
      <c r="A497" s="45"/>
      <c r="B497" s="45"/>
      <c r="C497" s="45"/>
      <c r="D497" s="45"/>
      <c r="E497" s="45"/>
      <c r="F497" s="45"/>
      <c r="G497" s="45"/>
      <c r="H497" s="45"/>
      <c r="I497" s="45"/>
      <c r="J497" s="45"/>
      <c r="K497" s="45"/>
      <c r="L497" s="46"/>
      <c r="M497" s="45"/>
      <c r="N497" s="45"/>
      <c r="O497" s="45"/>
      <c r="P497" s="47"/>
      <c r="Q497" s="45"/>
      <c r="R497" s="45"/>
      <c r="S497" s="45"/>
      <c r="T497" s="45"/>
      <c r="U497" s="45"/>
      <c r="V497" s="45"/>
      <c r="W497" s="45"/>
      <c r="X497" s="45"/>
      <c r="Y497" s="45"/>
      <c r="Z497" s="48" t="s">
        <v>642</v>
      </c>
      <c r="AA497" s="45" t="s">
        <v>642</v>
      </c>
      <c r="AB497" s="45">
        <v>0</v>
      </c>
      <c r="AD497"/>
    </row>
    <row r="498" spans="1:30" ht="12.75" customHeight="1">
      <c r="A498" s="45"/>
      <c r="B498" s="45"/>
      <c r="C498" s="45"/>
      <c r="D498" s="45"/>
      <c r="E498" s="45"/>
      <c r="F498" s="45"/>
      <c r="G498" s="45"/>
      <c r="H498" s="45"/>
      <c r="I498" s="45"/>
      <c r="J498" s="45"/>
      <c r="K498" s="45"/>
      <c r="L498" s="46"/>
      <c r="M498" s="45"/>
      <c r="N498" s="45"/>
      <c r="O498" s="45"/>
      <c r="P498" s="47"/>
      <c r="Q498" s="45"/>
      <c r="R498" s="45"/>
      <c r="S498" s="45"/>
      <c r="T498" s="45"/>
      <c r="U498" s="45"/>
      <c r="V498" s="45"/>
      <c r="W498" s="45"/>
      <c r="X498" s="45"/>
      <c r="Y498" s="45"/>
      <c r="Z498" s="48" t="s">
        <v>642</v>
      </c>
      <c r="AA498" s="45" t="s">
        <v>642</v>
      </c>
      <c r="AB498" s="45">
        <v>0</v>
      </c>
      <c r="AD498"/>
    </row>
    <row r="499" spans="1:30" ht="12.75" customHeight="1">
      <c r="A499" s="45"/>
      <c r="B499" s="45"/>
      <c r="C499" s="45"/>
      <c r="D499" s="45"/>
      <c r="E499" s="45"/>
      <c r="F499" s="45"/>
      <c r="G499" s="45"/>
      <c r="H499" s="45"/>
      <c r="I499" s="45"/>
      <c r="J499" s="45"/>
      <c r="K499" s="45"/>
      <c r="L499" s="46"/>
      <c r="M499" s="45"/>
      <c r="N499" s="45"/>
      <c r="O499" s="45"/>
      <c r="P499" s="47"/>
      <c r="Q499" s="45"/>
      <c r="R499" s="45"/>
      <c r="S499" s="45"/>
      <c r="T499" s="45"/>
      <c r="U499" s="45"/>
      <c r="V499" s="45"/>
      <c r="W499" s="45"/>
      <c r="X499" s="45"/>
      <c r="Y499" s="45"/>
      <c r="Z499" s="48" t="s">
        <v>642</v>
      </c>
      <c r="AA499" s="45" t="s">
        <v>642</v>
      </c>
      <c r="AB499" s="45">
        <v>0</v>
      </c>
      <c r="AD499"/>
    </row>
    <row r="500" spans="1:30" ht="12.75" customHeight="1">
      <c r="A500" s="45"/>
      <c r="B500" s="45"/>
      <c r="C500" s="45"/>
      <c r="D500" s="45"/>
      <c r="E500" s="45"/>
      <c r="F500" s="45"/>
      <c r="G500" s="45"/>
      <c r="H500" s="45"/>
      <c r="I500" s="45"/>
      <c r="J500" s="45"/>
      <c r="K500" s="45"/>
      <c r="L500" s="46"/>
      <c r="M500" s="45"/>
      <c r="N500" s="45"/>
      <c r="O500" s="45"/>
      <c r="P500" s="47"/>
      <c r="Q500" s="45"/>
      <c r="R500" s="45"/>
      <c r="S500" s="45"/>
      <c r="T500" s="45"/>
      <c r="U500" s="45"/>
      <c r="V500" s="45"/>
      <c r="W500" s="45"/>
      <c r="X500" s="45"/>
      <c r="Y500" s="45"/>
      <c r="Z500" s="48" t="s">
        <v>642</v>
      </c>
      <c r="AA500" s="45" t="s">
        <v>642</v>
      </c>
      <c r="AB500" s="45">
        <v>0</v>
      </c>
      <c r="AD500"/>
    </row>
  </sheetData>
  <customSheetViews>
    <customSheetView guid="{1F94D349-39AA-4577-8915-6735D7B45D95}">
      <selection activeCell="E34" sqref="E34"/>
      <pageMargins left="0.7" right="0.7" top="0.75" bottom="0.75" header="0.3" footer="0.3"/>
      <pageSetup paperSize="9" orientation="portrait" horizontalDpi="300" verticalDpi="300" r:id="rId1"/>
    </customSheetView>
  </customSheetViews>
  <phoneticPr fontId="2"/>
  <conditionalFormatting sqref="AD2:AD17">
    <cfRule type="expression" dxfId="0" priority="1" stopIfTrue="1">
      <formula>IF($AD2="",1,0)=0</formula>
    </cfRule>
  </conditionalFormatting>
  <pageMargins left="0.7" right="0.7" top="0.75" bottom="0.75" header="0.3" footer="0.3"/>
  <pageSetup paperSize="9" orientation="portrait" horizontalDpi="300" verticalDpi="30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>
                <anchor moveWithCells="1" sizeWithCells="1">
                  <from>
                    <xdr:col>29</xdr:col>
                    <xdr:colOff>295275</xdr:colOff>
                    <xdr:row>8</xdr:row>
                    <xdr:rowOff>38100</xdr:rowOff>
                  </from>
                  <to>
                    <xdr:col>29</xdr:col>
                    <xdr:colOff>1181100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6" name="Button 2">
              <controlPr defaultSize="0" print="0" autoFill="0" autoPict="0">
                <anchor moveWithCells="1" sizeWithCells="1">
                  <from>
                    <xdr:col>29</xdr:col>
                    <xdr:colOff>333375</xdr:colOff>
                    <xdr:row>33</xdr:row>
                    <xdr:rowOff>47625</xdr:rowOff>
                  </from>
                  <to>
                    <xdr:col>29</xdr:col>
                    <xdr:colOff>1257300</xdr:colOff>
                    <xdr:row>35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7" name="Button 3">
              <controlPr defaultSize="0" print="0" autoFill="0" autoPict="0">
                <anchor moveWithCells="1" sizeWithCells="1">
                  <from>
                    <xdr:col>29</xdr:col>
                    <xdr:colOff>295275</xdr:colOff>
                    <xdr:row>8</xdr:row>
                    <xdr:rowOff>38100</xdr:rowOff>
                  </from>
                  <to>
                    <xdr:col>29</xdr:col>
                    <xdr:colOff>1181100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8" name="Button 4">
              <controlPr defaultSize="0" print="0" autoFill="0" autoPict="0">
                <anchor moveWithCells="1" sizeWithCells="1">
                  <from>
                    <xdr:col>29</xdr:col>
                    <xdr:colOff>333375</xdr:colOff>
                    <xdr:row>33</xdr:row>
                    <xdr:rowOff>47625</xdr:rowOff>
                  </from>
                  <to>
                    <xdr:col>29</xdr:col>
                    <xdr:colOff>1257300</xdr:colOff>
                    <xdr:row>35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9" name="Button 5">
              <controlPr defaultSize="0" print="0" autoFill="0" autoPict="0">
                <anchor moveWithCells="1" sizeWithCells="1">
                  <from>
                    <xdr:col>29</xdr:col>
                    <xdr:colOff>295275</xdr:colOff>
                    <xdr:row>8</xdr:row>
                    <xdr:rowOff>38100</xdr:rowOff>
                  </from>
                  <to>
                    <xdr:col>29</xdr:col>
                    <xdr:colOff>1181100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10" name="Button 6">
              <controlPr defaultSize="0" print="0" autoFill="0" autoPict="0">
                <anchor moveWithCells="1" sizeWithCells="1">
                  <from>
                    <xdr:col>29</xdr:col>
                    <xdr:colOff>333375</xdr:colOff>
                    <xdr:row>33</xdr:row>
                    <xdr:rowOff>47625</xdr:rowOff>
                  </from>
                  <to>
                    <xdr:col>29</xdr:col>
                    <xdr:colOff>1257300</xdr:colOff>
                    <xdr:row>35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1" name="Button 7">
              <controlPr defaultSize="0" print="0" autoFill="0" autoPict="0">
                <anchor moveWithCells="1" sizeWithCells="1">
                  <from>
                    <xdr:col>29</xdr:col>
                    <xdr:colOff>314325</xdr:colOff>
                    <xdr:row>8</xdr:row>
                    <xdr:rowOff>38100</xdr:rowOff>
                  </from>
                  <to>
                    <xdr:col>29</xdr:col>
                    <xdr:colOff>1257300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2" name="Button 8">
              <controlPr defaultSize="0" print="0" autoFill="0" autoPict="0">
                <anchor moveWithCells="1" sizeWithCells="1">
                  <from>
                    <xdr:col>29</xdr:col>
                    <xdr:colOff>352425</xdr:colOff>
                    <xdr:row>33</xdr:row>
                    <xdr:rowOff>47625</xdr:rowOff>
                  </from>
                  <to>
                    <xdr:col>29</xdr:col>
                    <xdr:colOff>1343025</xdr:colOff>
                    <xdr:row>35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3" name="Button 9">
              <controlPr defaultSize="0" print="0" autoFill="0" autoPict="0">
                <anchor moveWithCells="1" sizeWithCells="1">
                  <from>
                    <xdr:col>29</xdr:col>
                    <xdr:colOff>314325</xdr:colOff>
                    <xdr:row>8</xdr:row>
                    <xdr:rowOff>38100</xdr:rowOff>
                  </from>
                  <to>
                    <xdr:col>29</xdr:col>
                    <xdr:colOff>1257300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4" name="Button 10">
              <controlPr defaultSize="0" print="0" autoFill="0" autoPict="0">
                <anchor moveWithCells="1" sizeWithCells="1">
                  <from>
                    <xdr:col>29</xdr:col>
                    <xdr:colOff>352425</xdr:colOff>
                    <xdr:row>33</xdr:row>
                    <xdr:rowOff>47625</xdr:rowOff>
                  </from>
                  <to>
                    <xdr:col>29</xdr:col>
                    <xdr:colOff>1343025</xdr:colOff>
                    <xdr:row>35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5" name="Button 11">
              <controlPr defaultSize="0" print="0" autoFill="0" autoPict="0">
                <anchor moveWithCells="1" sizeWithCells="1">
                  <from>
                    <xdr:col>29</xdr:col>
                    <xdr:colOff>314325</xdr:colOff>
                    <xdr:row>8</xdr:row>
                    <xdr:rowOff>38100</xdr:rowOff>
                  </from>
                  <to>
                    <xdr:col>29</xdr:col>
                    <xdr:colOff>1257300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6" name="Button 12">
              <controlPr defaultSize="0" print="0" autoFill="0" autoPict="0">
                <anchor moveWithCells="1" sizeWithCells="1">
                  <from>
                    <xdr:col>29</xdr:col>
                    <xdr:colOff>352425</xdr:colOff>
                    <xdr:row>33</xdr:row>
                    <xdr:rowOff>47625</xdr:rowOff>
                  </from>
                  <to>
                    <xdr:col>29</xdr:col>
                    <xdr:colOff>1343025</xdr:colOff>
                    <xdr:row>35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273"/>
  <sheetViews>
    <sheetView topLeftCell="A248" zoomScale="85" zoomScaleNormal="85" workbookViewId="0">
      <selection activeCell="A274" sqref="A274"/>
    </sheetView>
  </sheetViews>
  <sheetFormatPr defaultRowHeight="18.75"/>
  <cols>
    <col min="1" max="1" width="37.625" bestFit="1" customWidth="1"/>
  </cols>
  <sheetData>
    <row r="1" spans="1:1">
      <c r="A1" t="s">
        <v>23</v>
      </c>
    </row>
    <row r="2" spans="1:1">
      <c r="A2" t="s">
        <v>0</v>
      </c>
    </row>
    <row r="3" spans="1:1">
      <c r="A3" t="s">
        <v>24</v>
      </c>
    </row>
    <row r="4" spans="1:1">
      <c r="A4" t="s">
        <v>25</v>
      </c>
    </row>
    <row r="5" spans="1:1">
      <c r="A5" t="s">
        <v>26</v>
      </c>
    </row>
    <row r="6" spans="1:1">
      <c r="A6" t="s">
        <v>27</v>
      </c>
    </row>
    <row r="7" spans="1:1">
      <c r="A7" t="s">
        <v>83</v>
      </c>
    </row>
    <row r="8" spans="1:1">
      <c r="A8" t="s">
        <v>90</v>
      </c>
    </row>
    <row r="9" spans="1:1">
      <c r="A9" t="s">
        <v>21</v>
      </c>
    </row>
    <row r="10" spans="1:1">
      <c r="A10" t="s">
        <v>28</v>
      </c>
    </row>
    <row r="11" spans="1:1">
      <c r="A11" t="s">
        <v>11</v>
      </c>
    </row>
    <row r="12" spans="1:1">
      <c r="A12" t="s">
        <v>29</v>
      </c>
    </row>
    <row r="13" spans="1:1">
      <c r="A13" t="s">
        <v>30</v>
      </c>
    </row>
    <row r="14" spans="1:1">
      <c r="A14" t="s">
        <v>31</v>
      </c>
    </row>
    <row r="15" spans="1:1">
      <c r="A15" t="s">
        <v>10</v>
      </c>
    </row>
    <row r="16" spans="1:1">
      <c r="A16" t="s">
        <v>32</v>
      </c>
    </row>
    <row r="17" spans="1:1">
      <c r="A17" t="s">
        <v>33</v>
      </c>
    </row>
    <row r="18" spans="1:1">
      <c r="A18" t="s">
        <v>141</v>
      </c>
    </row>
    <row r="19" spans="1:1">
      <c r="A19" t="s">
        <v>34</v>
      </c>
    </row>
    <row r="20" spans="1:1">
      <c r="A20" t="s">
        <v>111</v>
      </c>
    </row>
    <row r="21" spans="1:1">
      <c r="A21" t="s">
        <v>88</v>
      </c>
    </row>
    <row r="22" spans="1:1">
      <c r="A22" t="s">
        <v>89</v>
      </c>
    </row>
    <row r="23" spans="1:1">
      <c r="A23" t="s">
        <v>35</v>
      </c>
    </row>
    <row r="24" spans="1:1">
      <c r="A24" t="s">
        <v>16</v>
      </c>
    </row>
    <row r="25" spans="1:1">
      <c r="A25" t="s">
        <v>36</v>
      </c>
    </row>
    <row r="26" spans="1:1">
      <c r="A26" t="s">
        <v>37</v>
      </c>
    </row>
    <row r="27" spans="1:1">
      <c r="A27" t="s">
        <v>38</v>
      </c>
    </row>
    <row r="28" spans="1:1">
      <c r="A28" t="s">
        <v>39</v>
      </c>
    </row>
    <row r="29" spans="1:1">
      <c r="A29" t="s">
        <v>1</v>
      </c>
    </row>
    <row r="30" spans="1:1">
      <c r="A30" t="s">
        <v>40</v>
      </c>
    </row>
    <row r="31" spans="1:1">
      <c r="A31" t="s">
        <v>132</v>
      </c>
    </row>
    <row r="32" spans="1:1">
      <c r="A32" t="s">
        <v>6</v>
      </c>
    </row>
    <row r="33" spans="1:1">
      <c r="A33" t="s">
        <v>41</v>
      </c>
    </row>
    <row r="34" spans="1:1">
      <c r="A34" t="s">
        <v>19</v>
      </c>
    </row>
    <row r="35" spans="1:1">
      <c r="A35" t="s">
        <v>42</v>
      </c>
    </row>
    <row r="36" spans="1:1">
      <c r="A36" t="s">
        <v>43</v>
      </c>
    </row>
    <row r="37" spans="1:1">
      <c r="A37" t="s">
        <v>44</v>
      </c>
    </row>
    <row r="38" spans="1:1">
      <c r="A38" t="s">
        <v>45</v>
      </c>
    </row>
    <row r="39" spans="1:1">
      <c r="A39" t="s">
        <v>46</v>
      </c>
    </row>
    <row r="40" spans="1:1">
      <c r="A40" t="s">
        <v>47</v>
      </c>
    </row>
    <row r="41" spans="1:1">
      <c r="A41" t="s">
        <v>48</v>
      </c>
    </row>
    <row r="42" spans="1:1">
      <c r="A42" t="s">
        <v>49</v>
      </c>
    </row>
    <row r="43" spans="1:1">
      <c r="A43" t="s">
        <v>50</v>
      </c>
    </row>
    <row r="44" spans="1:1">
      <c r="A44" t="s">
        <v>149</v>
      </c>
    </row>
    <row r="45" spans="1:1">
      <c r="A45" t="s">
        <v>51</v>
      </c>
    </row>
    <row r="46" spans="1:1">
      <c r="A46" t="s">
        <v>52</v>
      </c>
    </row>
    <row r="47" spans="1:1">
      <c r="A47" t="s">
        <v>53</v>
      </c>
    </row>
    <row r="48" spans="1:1">
      <c r="A48" t="s">
        <v>162</v>
      </c>
    </row>
    <row r="49" spans="1:1">
      <c r="A49" t="s">
        <v>82</v>
      </c>
    </row>
    <row r="50" spans="1:1">
      <c r="A50" t="s">
        <v>22</v>
      </c>
    </row>
    <row r="51" spans="1:1">
      <c r="A51" t="s">
        <v>54</v>
      </c>
    </row>
    <row r="52" spans="1:1">
      <c r="A52" t="s">
        <v>55</v>
      </c>
    </row>
    <row r="53" spans="1:1">
      <c r="A53" t="s">
        <v>56</v>
      </c>
    </row>
    <row r="54" spans="1:1">
      <c r="A54" t="s">
        <v>57</v>
      </c>
    </row>
    <row r="55" spans="1:1">
      <c r="A55" t="s">
        <v>58</v>
      </c>
    </row>
    <row r="56" spans="1:1">
      <c r="A56" t="s">
        <v>150</v>
      </c>
    </row>
    <row r="57" spans="1:1">
      <c r="A57" t="s">
        <v>59</v>
      </c>
    </row>
    <row r="58" spans="1:1">
      <c r="A58" t="s">
        <v>60</v>
      </c>
    </row>
    <row r="59" spans="1:1">
      <c r="A59" t="s">
        <v>61</v>
      </c>
    </row>
    <row r="60" spans="1:1">
      <c r="A60" t="s">
        <v>133</v>
      </c>
    </row>
    <row r="61" spans="1:1">
      <c r="A61" t="s">
        <v>62</v>
      </c>
    </row>
    <row r="62" spans="1:1">
      <c r="A62" t="s">
        <v>12</v>
      </c>
    </row>
    <row r="63" spans="1:1">
      <c r="A63" t="s">
        <v>17</v>
      </c>
    </row>
    <row r="64" spans="1:1">
      <c r="A64" t="s">
        <v>20</v>
      </c>
    </row>
    <row r="65" spans="1:1">
      <c r="A65" t="s">
        <v>63</v>
      </c>
    </row>
    <row r="66" spans="1:1">
      <c r="A66" t="s">
        <v>64</v>
      </c>
    </row>
    <row r="67" spans="1:1">
      <c r="A67" t="s">
        <v>65</v>
      </c>
    </row>
    <row r="68" spans="1:1">
      <c r="A68" t="s">
        <v>66</v>
      </c>
    </row>
    <row r="69" spans="1:1">
      <c r="A69" t="s">
        <v>67</v>
      </c>
    </row>
    <row r="70" spans="1:1">
      <c r="A70" t="s">
        <v>68</v>
      </c>
    </row>
    <row r="71" spans="1:1">
      <c r="A71" t="s">
        <v>69</v>
      </c>
    </row>
    <row r="72" spans="1:1">
      <c r="A72" t="s">
        <v>70</v>
      </c>
    </row>
    <row r="73" spans="1:1">
      <c r="A73" t="s">
        <v>71</v>
      </c>
    </row>
    <row r="74" spans="1:1">
      <c r="A74" t="s">
        <v>72</v>
      </c>
    </row>
    <row r="75" spans="1:1">
      <c r="A75" t="s">
        <v>73</v>
      </c>
    </row>
    <row r="76" spans="1:1">
      <c r="A76" t="s">
        <v>74</v>
      </c>
    </row>
    <row r="77" spans="1:1">
      <c r="A77" t="s">
        <v>75</v>
      </c>
    </row>
    <row r="78" spans="1:1">
      <c r="A78" t="s">
        <v>76</v>
      </c>
    </row>
    <row r="79" spans="1:1">
      <c r="A79" t="s">
        <v>77</v>
      </c>
    </row>
    <row r="80" spans="1:1">
      <c r="A80" t="s">
        <v>78</v>
      </c>
    </row>
    <row r="81" spans="1:1">
      <c r="A81" t="s">
        <v>15</v>
      </c>
    </row>
    <row r="82" spans="1:1">
      <c r="A82" t="s">
        <v>79</v>
      </c>
    </row>
    <row r="83" spans="1:1">
      <c r="A83" t="s">
        <v>80</v>
      </c>
    </row>
    <row r="84" spans="1:1">
      <c r="A84" t="s">
        <v>81</v>
      </c>
    </row>
    <row r="85" spans="1:1">
      <c r="A85" t="s">
        <v>84</v>
      </c>
    </row>
    <row r="86" spans="1:1">
      <c r="A86" t="s">
        <v>85</v>
      </c>
    </row>
    <row r="87" spans="1:1">
      <c r="A87" t="s">
        <v>14</v>
      </c>
    </row>
    <row r="88" spans="1:1">
      <c r="A88" t="s">
        <v>86</v>
      </c>
    </row>
    <row r="89" spans="1:1">
      <c r="A89" t="s">
        <v>87</v>
      </c>
    </row>
    <row r="90" spans="1:1">
      <c r="A90" t="s">
        <v>18</v>
      </c>
    </row>
    <row r="91" spans="1:1">
      <c r="A91" t="s">
        <v>91</v>
      </c>
    </row>
    <row r="92" spans="1:1">
      <c r="A92" t="s">
        <v>92</v>
      </c>
    </row>
    <row r="93" spans="1:1">
      <c r="A93" t="s">
        <v>93</v>
      </c>
    </row>
    <row r="94" spans="1:1">
      <c r="A94" t="s">
        <v>94</v>
      </c>
    </row>
    <row r="95" spans="1:1">
      <c r="A95" t="s">
        <v>95</v>
      </c>
    </row>
    <row r="96" spans="1:1">
      <c r="A96" t="s">
        <v>96</v>
      </c>
    </row>
    <row r="97" spans="1:1">
      <c r="A97" t="s">
        <v>139</v>
      </c>
    </row>
    <row r="98" spans="1:1">
      <c r="A98" t="s">
        <v>8</v>
      </c>
    </row>
    <row r="99" spans="1:1">
      <c r="A99" t="s">
        <v>97</v>
      </c>
    </row>
    <row r="100" spans="1:1">
      <c r="A100" t="s">
        <v>98</v>
      </c>
    </row>
    <row r="101" spans="1:1">
      <c r="A101" t="s">
        <v>99</v>
      </c>
    </row>
    <row r="102" spans="1:1">
      <c r="A102" t="s">
        <v>100</v>
      </c>
    </row>
    <row r="103" spans="1:1">
      <c r="A103" t="s">
        <v>101</v>
      </c>
    </row>
    <row r="104" spans="1:1">
      <c r="A104" t="s">
        <v>102</v>
      </c>
    </row>
    <row r="105" spans="1:1">
      <c r="A105" t="s">
        <v>103</v>
      </c>
    </row>
    <row r="106" spans="1:1">
      <c r="A106" t="s">
        <v>104</v>
      </c>
    </row>
    <row r="107" spans="1:1">
      <c r="A107" t="s">
        <v>105</v>
      </c>
    </row>
    <row r="108" spans="1:1">
      <c r="A108" t="s">
        <v>13</v>
      </c>
    </row>
    <row r="109" spans="1:1">
      <c r="A109" t="s">
        <v>106</v>
      </c>
    </row>
    <row r="110" spans="1:1">
      <c r="A110" t="s">
        <v>107</v>
      </c>
    </row>
    <row r="111" spans="1:1">
      <c r="A111" t="s">
        <v>108</v>
      </c>
    </row>
    <row r="112" spans="1:1">
      <c r="A112" t="s">
        <v>109</v>
      </c>
    </row>
    <row r="113" spans="1:1">
      <c r="A113" t="s">
        <v>110</v>
      </c>
    </row>
    <row r="114" spans="1:1">
      <c r="A114" t="s">
        <v>112</v>
      </c>
    </row>
    <row r="115" spans="1:1">
      <c r="A115" t="s">
        <v>113</v>
      </c>
    </row>
    <row r="116" spans="1:1">
      <c r="A116" t="s">
        <v>114</v>
      </c>
    </row>
    <row r="117" spans="1:1">
      <c r="A117" t="s">
        <v>115</v>
      </c>
    </row>
    <row r="118" spans="1:1">
      <c r="A118" t="s">
        <v>116</v>
      </c>
    </row>
    <row r="119" spans="1:1">
      <c r="A119" t="s">
        <v>117</v>
      </c>
    </row>
    <row r="120" spans="1:1">
      <c r="A120" t="s">
        <v>118</v>
      </c>
    </row>
    <row r="121" spans="1:1">
      <c r="A121" t="s">
        <v>119</v>
      </c>
    </row>
    <row r="122" spans="1:1">
      <c r="A122" t="s">
        <v>120</v>
      </c>
    </row>
    <row r="123" spans="1:1">
      <c r="A123" t="s">
        <v>121</v>
      </c>
    </row>
    <row r="124" spans="1:1">
      <c r="A124" t="s">
        <v>122</v>
      </c>
    </row>
    <row r="125" spans="1:1">
      <c r="A125" t="s">
        <v>123</v>
      </c>
    </row>
    <row r="126" spans="1:1">
      <c r="A126" t="s">
        <v>124</v>
      </c>
    </row>
    <row r="127" spans="1:1">
      <c r="A127" t="s">
        <v>125</v>
      </c>
    </row>
    <row r="128" spans="1:1">
      <c r="A128" t="s">
        <v>126</v>
      </c>
    </row>
    <row r="129" spans="1:1">
      <c r="A129" t="s">
        <v>137</v>
      </c>
    </row>
    <row r="130" spans="1:1">
      <c r="A130" t="s">
        <v>127</v>
      </c>
    </row>
    <row r="131" spans="1:1">
      <c r="A131" t="s">
        <v>128</v>
      </c>
    </row>
    <row r="132" spans="1:1">
      <c r="A132" t="s">
        <v>129</v>
      </c>
    </row>
    <row r="133" spans="1:1">
      <c r="A133" t="s">
        <v>130</v>
      </c>
    </row>
    <row r="134" spans="1:1">
      <c r="A134" t="s">
        <v>131</v>
      </c>
    </row>
    <row r="135" spans="1:1">
      <c r="A135" t="s">
        <v>134</v>
      </c>
    </row>
    <row r="136" spans="1:1">
      <c r="A136" t="s">
        <v>135</v>
      </c>
    </row>
    <row r="137" spans="1:1">
      <c r="A137" t="s">
        <v>138</v>
      </c>
    </row>
    <row r="138" spans="1:1">
      <c r="A138" t="s">
        <v>136</v>
      </c>
    </row>
    <row r="139" spans="1:1">
      <c r="A139" t="s">
        <v>140</v>
      </c>
    </row>
    <row r="140" spans="1:1">
      <c r="A140" t="s">
        <v>142</v>
      </c>
    </row>
    <row r="141" spans="1:1">
      <c r="A141" t="s">
        <v>148</v>
      </c>
    </row>
    <row r="142" spans="1:1">
      <c r="A142" t="s">
        <v>143</v>
      </c>
    </row>
    <row r="143" spans="1:1">
      <c r="A143" t="s">
        <v>144</v>
      </c>
    </row>
    <row r="144" spans="1:1">
      <c r="A144" t="s">
        <v>145</v>
      </c>
    </row>
    <row r="145" spans="1:1">
      <c r="A145" t="s">
        <v>146</v>
      </c>
    </row>
    <row r="146" spans="1:1">
      <c r="A146" t="s">
        <v>147</v>
      </c>
    </row>
    <row r="147" spans="1:1">
      <c r="A147" t="s">
        <v>151</v>
      </c>
    </row>
    <row r="148" spans="1:1">
      <c r="A148" t="s">
        <v>152</v>
      </c>
    </row>
    <row r="149" spans="1:1">
      <c r="A149" t="s">
        <v>153</v>
      </c>
    </row>
    <row r="150" spans="1:1">
      <c r="A150" t="s">
        <v>154</v>
      </c>
    </row>
    <row r="151" spans="1:1">
      <c r="A151" t="s">
        <v>155</v>
      </c>
    </row>
    <row r="152" spans="1:1">
      <c r="A152" t="s">
        <v>157</v>
      </c>
    </row>
    <row r="153" spans="1:1">
      <c r="A153" t="s">
        <v>156</v>
      </c>
    </row>
    <row r="154" spans="1:1">
      <c r="A154" t="s">
        <v>163</v>
      </c>
    </row>
    <row r="155" spans="1:1">
      <c r="A155" t="s">
        <v>164</v>
      </c>
    </row>
    <row r="156" spans="1:1">
      <c r="A156" t="s">
        <v>165</v>
      </c>
    </row>
    <row r="157" spans="1:1">
      <c r="A157" t="s">
        <v>166</v>
      </c>
    </row>
    <row r="158" spans="1:1">
      <c r="A158" t="s">
        <v>169</v>
      </c>
    </row>
    <row r="159" spans="1:1">
      <c r="A159" t="s">
        <v>170</v>
      </c>
    </row>
    <row r="160" spans="1:1">
      <c r="A160" t="s">
        <v>171</v>
      </c>
    </row>
    <row r="161" spans="1:1">
      <c r="A161" t="s">
        <v>167</v>
      </c>
    </row>
    <row r="162" spans="1:1">
      <c r="A162" t="s">
        <v>168</v>
      </c>
    </row>
    <row r="163" spans="1:1">
      <c r="A163" t="s">
        <v>172</v>
      </c>
    </row>
    <row r="164" spans="1:1">
      <c r="A164" t="s">
        <v>173</v>
      </c>
    </row>
    <row r="165" spans="1:1">
      <c r="A165" t="s">
        <v>174</v>
      </c>
    </row>
    <row r="166" spans="1:1">
      <c r="A166" t="s">
        <v>179</v>
      </c>
    </row>
    <row r="167" spans="1:1">
      <c r="A167" t="s">
        <v>177</v>
      </c>
    </row>
    <row r="168" spans="1:1">
      <c r="A168" t="s">
        <v>180</v>
      </c>
    </row>
    <row r="169" spans="1:1">
      <c r="A169" t="s">
        <v>175</v>
      </c>
    </row>
    <row r="170" spans="1:1">
      <c r="A170" t="s">
        <v>176</v>
      </c>
    </row>
    <row r="171" spans="1:1">
      <c r="A171" t="s">
        <v>182</v>
      </c>
    </row>
    <row r="172" spans="1:1">
      <c r="A172" t="s">
        <v>183</v>
      </c>
    </row>
    <row r="173" spans="1:1">
      <c r="A173" t="s">
        <v>181</v>
      </c>
    </row>
    <row r="174" spans="1:1">
      <c r="A174" t="s">
        <v>185</v>
      </c>
    </row>
    <row r="175" spans="1:1">
      <c r="A175" t="s">
        <v>184</v>
      </c>
    </row>
    <row r="176" spans="1:1">
      <c r="A176" t="s">
        <v>186</v>
      </c>
    </row>
    <row r="177" spans="1:1">
      <c r="A177" t="s">
        <v>187</v>
      </c>
    </row>
    <row r="178" spans="1:1">
      <c r="A178" t="s">
        <v>188</v>
      </c>
    </row>
    <row r="179" spans="1:1">
      <c r="A179" t="s">
        <v>189</v>
      </c>
    </row>
    <row r="180" spans="1:1">
      <c r="A180" t="s">
        <v>190</v>
      </c>
    </row>
    <row r="181" spans="1:1">
      <c r="A181" t="s">
        <v>191</v>
      </c>
    </row>
    <row r="182" spans="1:1">
      <c r="A182" t="s">
        <v>192</v>
      </c>
    </row>
    <row r="183" spans="1:1">
      <c r="A183" t="s">
        <v>193</v>
      </c>
    </row>
    <row r="184" spans="1:1">
      <c r="A184" t="s">
        <v>194</v>
      </c>
    </row>
    <row r="185" spans="1:1">
      <c r="A185" t="s">
        <v>195</v>
      </c>
    </row>
    <row r="186" spans="1:1">
      <c r="A186" t="s">
        <v>196</v>
      </c>
    </row>
    <row r="187" spans="1:1">
      <c r="A187" t="s">
        <v>200</v>
      </c>
    </row>
    <row r="188" spans="1:1">
      <c r="A188" t="s">
        <v>198</v>
      </c>
    </row>
    <row r="189" spans="1:1">
      <c r="A189" t="s">
        <v>199</v>
      </c>
    </row>
    <row r="190" spans="1:1">
      <c r="A190" t="s">
        <v>201</v>
      </c>
    </row>
    <row r="191" spans="1:1">
      <c r="A191" t="s">
        <v>202</v>
      </c>
    </row>
    <row r="192" spans="1:1">
      <c r="A192" t="s">
        <v>203</v>
      </c>
    </row>
    <row r="193" spans="1:1">
      <c r="A193" t="s">
        <v>204</v>
      </c>
    </row>
    <row r="194" spans="1:1">
      <c r="A194" t="s">
        <v>205</v>
      </c>
    </row>
    <row r="195" spans="1:1">
      <c r="A195" t="s">
        <v>206</v>
      </c>
    </row>
    <row r="196" spans="1:1">
      <c r="A196" t="s">
        <v>207</v>
      </c>
    </row>
    <row r="197" spans="1:1">
      <c r="A197" t="s">
        <v>208</v>
      </c>
    </row>
    <row r="198" spans="1:1">
      <c r="A198" t="s">
        <v>209</v>
      </c>
    </row>
    <row r="199" spans="1:1">
      <c r="A199" t="s">
        <v>197</v>
      </c>
    </row>
    <row r="200" spans="1:1">
      <c r="A200" t="s">
        <v>178</v>
      </c>
    </row>
    <row r="201" spans="1:1">
      <c r="A201" t="s">
        <v>210</v>
      </c>
    </row>
    <row r="202" spans="1:1">
      <c r="A202" t="s">
        <v>211</v>
      </c>
    </row>
    <row r="203" spans="1:1">
      <c r="A203" t="s">
        <v>212</v>
      </c>
    </row>
    <row r="204" spans="1:1">
      <c r="A204" t="s">
        <v>213</v>
      </c>
    </row>
    <row r="205" spans="1:1">
      <c r="A205" t="s">
        <v>214</v>
      </c>
    </row>
    <row r="206" spans="1:1">
      <c r="A206" t="s">
        <v>215</v>
      </c>
    </row>
    <row r="207" spans="1:1">
      <c r="A207" t="s">
        <v>216</v>
      </c>
    </row>
    <row r="208" spans="1:1">
      <c r="A208" t="s">
        <v>217</v>
      </c>
    </row>
    <row r="209" spans="1:1">
      <c r="A209" t="s">
        <v>218</v>
      </c>
    </row>
    <row r="210" spans="1:1">
      <c r="A210" t="s">
        <v>219</v>
      </c>
    </row>
    <row r="211" spans="1:1">
      <c r="A211" t="s">
        <v>220</v>
      </c>
    </row>
    <row r="212" spans="1:1">
      <c r="A212" t="s">
        <v>221</v>
      </c>
    </row>
    <row r="213" spans="1:1">
      <c r="A213" t="s">
        <v>224</v>
      </c>
    </row>
    <row r="214" spans="1:1">
      <c r="A214" t="s">
        <v>225</v>
      </c>
    </row>
    <row r="215" spans="1:1">
      <c r="A215" t="s">
        <v>223</v>
      </c>
    </row>
    <row r="216" spans="1:1">
      <c r="A216" t="s">
        <v>222</v>
      </c>
    </row>
    <row r="217" spans="1:1">
      <c r="A217" t="s">
        <v>226</v>
      </c>
    </row>
    <row r="218" spans="1:1">
      <c r="A218" t="s">
        <v>227</v>
      </c>
    </row>
    <row r="219" spans="1:1">
      <c r="A219" t="s">
        <v>228</v>
      </c>
    </row>
    <row r="220" spans="1:1">
      <c r="A220" t="s">
        <v>229</v>
      </c>
    </row>
    <row r="221" spans="1:1">
      <c r="A221" t="s">
        <v>230</v>
      </c>
    </row>
    <row r="222" spans="1:1">
      <c r="A222" t="s">
        <v>231</v>
      </c>
    </row>
    <row r="223" spans="1:1">
      <c r="A223" t="s">
        <v>232</v>
      </c>
    </row>
    <row r="224" spans="1:1">
      <c r="A224" t="s">
        <v>233</v>
      </c>
    </row>
    <row r="225" spans="1:1">
      <c r="A225" t="s">
        <v>234</v>
      </c>
    </row>
    <row r="226" spans="1:1">
      <c r="A226" t="s">
        <v>235</v>
      </c>
    </row>
    <row r="227" spans="1:1">
      <c r="A227" t="s">
        <v>236</v>
      </c>
    </row>
    <row r="228" spans="1:1">
      <c r="A228" t="s">
        <v>237</v>
      </c>
    </row>
    <row r="229" spans="1:1">
      <c r="A229" t="s">
        <v>238</v>
      </c>
    </row>
    <row r="230" spans="1:1">
      <c r="A230" t="s">
        <v>239</v>
      </c>
    </row>
    <row r="231" spans="1:1">
      <c r="A231" t="s">
        <v>240</v>
      </c>
    </row>
    <row r="232" spans="1:1">
      <c r="A232" t="s">
        <v>241</v>
      </c>
    </row>
    <row r="233" spans="1:1">
      <c r="A233" t="s">
        <v>242</v>
      </c>
    </row>
    <row r="234" spans="1:1">
      <c r="A234" t="s">
        <v>243</v>
      </c>
    </row>
    <row r="235" spans="1:1">
      <c r="A235" t="s">
        <v>244</v>
      </c>
    </row>
    <row r="236" spans="1:1">
      <c r="A236" t="s">
        <v>245</v>
      </c>
    </row>
    <row r="237" spans="1:1">
      <c r="A237" t="s">
        <v>246</v>
      </c>
    </row>
    <row r="238" spans="1:1">
      <c r="A238" t="s">
        <v>247</v>
      </c>
    </row>
    <row r="239" spans="1:1">
      <c r="A239" t="s">
        <v>248</v>
      </c>
    </row>
    <row r="240" spans="1:1">
      <c r="A240" t="s">
        <v>249</v>
      </c>
    </row>
    <row r="241" spans="1:1">
      <c r="A241" t="s">
        <v>250</v>
      </c>
    </row>
    <row r="242" spans="1:1">
      <c r="A242" t="s">
        <v>251</v>
      </c>
    </row>
    <row r="243" spans="1:1">
      <c r="A243" t="s">
        <v>252</v>
      </c>
    </row>
    <row r="244" spans="1:1">
      <c r="A244" t="s">
        <v>253</v>
      </c>
    </row>
    <row r="245" spans="1:1">
      <c r="A245" t="s">
        <v>254</v>
      </c>
    </row>
    <row r="246" spans="1:1">
      <c r="A246" t="s">
        <v>255</v>
      </c>
    </row>
    <row r="247" spans="1:1">
      <c r="A247" t="s">
        <v>256</v>
      </c>
    </row>
    <row r="248" spans="1:1">
      <c r="A248" t="s">
        <v>257</v>
      </c>
    </row>
    <row r="249" spans="1:1">
      <c r="A249" t="s">
        <v>259</v>
      </c>
    </row>
    <row r="250" spans="1:1">
      <c r="A250" t="s">
        <v>260</v>
      </c>
    </row>
    <row r="251" spans="1:1">
      <c r="A251" t="s">
        <v>258</v>
      </c>
    </row>
    <row r="252" spans="1:1">
      <c r="A252" t="s">
        <v>261</v>
      </c>
    </row>
    <row r="253" spans="1:1">
      <c r="A253" t="s">
        <v>262</v>
      </c>
    </row>
    <row r="254" spans="1:1">
      <c r="A254" t="s">
        <v>263</v>
      </c>
    </row>
    <row r="255" spans="1:1">
      <c r="A255" t="s">
        <v>264</v>
      </c>
    </row>
    <row r="256" spans="1:1">
      <c r="A256" t="s">
        <v>265</v>
      </c>
    </row>
    <row r="257" spans="1:1">
      <c r="A257" t="s">
        <v>266</v>
      </c>
    </row>
    <row r="258" spans="1:1">
      <c r="A258" t="s">
        <v>267</v>
      </c>
    </row>
    <row r="259" spans="1:1">
      <c r="A259" t="s">
        <v>268</v>
      </c>
    </row>
    <row r="260" spans="1:1">
      <c r="A260" t="s">
        <v>269</v>
      </c>
    </row>
    <row r="261" spans="1:1">
      <c r="A261" t="s">
        <v>270</v>
      </c>
    </row>
    <row r="262" spans="1:1">
      <c r="A262" t="s">
        <v>271</v>
      </c>
    </row>
    <row r="263" spans="1:1">
      <c r="A263" t="s">
        <v>272</v>
      </c>
    </row>
    <row r="264" spans="1:1">
      <c r="A264" t="s">
        <v>273</v>
      </c>
    </row>
    <row r="265" spans="1:1">
      <c r="A265" t="s">
        <v>274</v>
      </c>
    </row>
    <row r="266" spans="1:1">
      <c r="A266" t="s">
        <v>275</v>
      </c>
    </row>
    <row r="267" spans="1:1">
      <c r="A267" t="s">
        <v>276</v>
      </c>
    </row>
    <row r="268" spans="1:1">
      <c r="A268" t="s">
        <v>277</v>
      </c>
    </row>
    <row r="269" spans="1:1">
      <c r="A269" t="s">
        <v>278</v>
      </c>
    </row>
    <row r="270" spans="1:1">
      <c r="A270" t="s">
        <v>279</v>
      </c>
    </row>
    <row r="271" spans="1:1">
      <c r="A271" t="s">
        <v>280</v>
      </c>
    </row>
    <row r="272" spans="1:1">
      <c r="A272" t="s">
        <v>281</v>
      </c>
    </row>
    <row r="273" spans="1:1">
      <c r="A273" t="s">
        <v>282</v>
      </c>
    </row>
  </sheetData>
  <customSheetViews>
    <customSheetView guid="{1F94D349-39AA-4577-8915-6735D7B45D95}" topLeftCell="A157">
      <selection activeCell="E175" sqref="E175"/>
      <pageMargins left="0.7" right="0.7" top="0.75" bottom="0.75" header="0.3" footer="0.3"/>
    </customSheetView>
  </customSheetViews>
  <phoneticPr fontId="2"/>
  <conditionalFormatting sqref="A91">
    <cfRule type="duplicateValues" dxfId="15" priority="11"/>
  </conditionalFormatting>
  <conditionalFormatting sqref="A21:A22">
    <cfRule type="duplicateValues" dxfId="14" priority="10"/>
  </conditionalFormatting>
  <conditionalFormatting sqref="A20">
    <cfRule type="duplicateValues" dxfId="13" priority="9"/>
  </conditionalFormatting>
  <conditionalFormatting sqref="A18">
    <cfRule type="duplicateValues" dxfId="12" priority="8"/>
  </conditionalFormatting>
  <conditionalFormatting sqref="A153">
    <cfRule type="duplicateValues" dxfId="11" priority="7"/>
  </conditionalFormatting>
  <conditionalFormatting sqref="A137:A152 A129:A135 A84:A86 A88:A90 A93:A127 A154:A158 A160:A170">
    <cfRule type="duplicateValues" dxfId="10" priority="48"/>
  </conditionalFormatting>
  <conditionalFormatting sqref="A1:A267 A269:A1048576">
    <cfRule type="duplicateValues" dxfId="9" priority="4"/>
    <cfRule type="duplicateValues" dxfId="8" priority="5"/>
    <cfRule type="duplicateValues" dxfId="7" priority="6"/>
  </conditionalFormatting>
  <conditionalFormatting sqref="A49:A55 A1:A17 A23:A43 A19 A45:A47 A57:A82">
    <cfRule type="duplicateValues" dxfId="6" priority="49"/>
  </conditionalFormatting>
  <conditionalFormatting sqref="A268">
    <cfRule type="duplicateValues" dxfId="5" priority="1"/>
    <cfRule type="duplicateValues" dxfId="4" priority="2"/>
    <cfRule type="duplicateValues" dxfId="3" priority="3"/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Q51"/>
  <sheetViews>
    <sheetView workbookViewId="0">
      <selection activeCell="J8" sqref="J8"/>
    </sheetView>
  </sheetViews>
  <sheetFormatPr defaultRowHeight="18.75"/>
  <cols>
    <col min="1" max="1" width="9" style="13"/>
    <col min="2" max="2" width="10" style="13" bestFit="1" customWidth="1"/>
    <col min="3" max="3" width="24" style="13" bestFit="1" customWidth="1"/>
    <col min="4" max="4" width="12.25" style="13" bestFit="1" customWidth="1"/>
    <col min="5" max="5" width="25.5" style="11" bestFit="1" customWidth="1"/>
    <col min="6" max="6" width="9" style="11"/>
    <col min="7" max="7" width="11.75" customWidth="1"/>
    <col min="9" max="9" width="11.75" bestFit="1" customWidth="1"/>
    <col min="11" max="11" width="12.5" bestFit="1" customWidth="1"/>
  </cols>
  <sheetData>
    <row r="1" spans="1:17" ht="21.75" customHeight="1">
      <c r="A1" s="22" t="s">
        <v>3</v>
      </c>
      <c r="B1" s="22" t="s">
        <v>2</v>
      </c>
      <c r="C1" s="22" t="s">
        <v>5</v>
      </c>
      <c r="D1" s="22" t="s">
        <v>4</v>
      </c>
      <c r="E1" s="23" t="s">
        <v>9</v>
      </c>
      <c r="F1" s="24" t="s">
        <v>7</v>
      </c>
      <c r="G1" s="8">
        <v>44602</v>
      </c>
      <c r="H1" s="16">
        <v>44992</v>
      </c>
      <c r="I1" s="21">
        <v>45042</v>
      </c>
      <c r="J1" s="15" t="s">
        <v>159</v>
      </c>
      <c r="K1" s="17" t="s">
        <v>161</v>
      </c>
      <c r="Q1" t="s">
        <v>160</v>
      </c>
    </row>
    <row r="2" spans="1:17">
      <c r="A2" s="6"/>
      <c r="B2" s="6"/>
      <c r="C2" s="6"/>
      <c r="D2" s="6"/>
      <c r="E2" s="6"/>
      <c r="G2" s="25"/>
      <c r="I2" s="14"/>
      <c r="J2" s="14"/>
    </row>
    <row r="3" spans="1:17">
      <c r="A3" s="6"/>
      <c r="B3" s="6"/>
      <c r="C3" s="6"/>
      <c r="D3" s="6"/>
      <c r="E3" s="6"/>
      <c r="G3" s="25"/>
      <c r="I3" s="14"/>
      <c r="J3" s="14"/>
    </row>
    <row r="4" spans="1:17">
      <c r="A4" s="6"/>
      <c r="B4" s="6"/>
      <c r="C4" s="6"/>
      <c r="D4" s="6"/>
      <c r="E4" s="6"/>
      <c r="G4" s="25"/>
      <c r="I4" s="14"/>
      <c r="J4" s="14"/>
    </row>
    <row r="5" spans="1:17">
      <c r="A5" s="6"/>
      <c r="B5" s="6"/>
      <c r="C5" s="6"/>
      <c r="D5" s="6"/>
      <c r="E5" s="6"/>
      <c r="G5" s="25"/>
      <c r="I5" s="14"/>
      <c r="J5" s="14"/>
    </row>
    <row r="6" spans="1:17">
      <c r="A6" s="6"/>
      <c r="B6" s="6"/>
      <c r="C6" s="6"/>
      <c r="D6" s="6"/>
      <c r="E6" s="6"/>
      <c r="G6" s="25"/>
      <c r="I6" s="14"/>
      <c r="J6" s="14"/>
    </row>
    <row r="7" spans="1:17">
      <c r="A7" s="6"/>
      <c r="B7" s="6"/>
      <c r="C7" s="6"/>
      <c r="D7" s="6"/>
      <c r="E7" s="6"/>
      <c r="G7" s="25"/>
      <c r="I7" s="14"/>
      <c r="J7" s="14"/>
    </row>
    <row r="8" spans="1:17">
      <c r="A8" s="6"/>
      <c r="B8" s="6"/>
      <c r="C8" s="6"/>
      <c r="D8" s="6"/>
      <c r="E8" s="6"/>
      <c r="G8" s="25"/>
      <c r="I8" s="14"/>
      <c r="J8" s="14"/>
    </row>
    <row r="9" spans="1:17">
      <c r="A9" s="6"/>
      <c r="B9" s="6"/>
      <c r="C9" s="6"/>
      <c r="D9" s="6"/>
      <c r="E9" s="6"/>
      <c r="G9" s="25"/>
      <c r="I9" s="14"/>
      <c r="J9" s="14"/>
    </row>
    <row r="10" spans="1:17">
      <c r="A10" s="6"/>
      <c r="B10" s="6"/>
      <c r="C10" s="6"/>
      <c r="D10" s="6"/>
      <c r="E10" s="6"/>
      <c r="G10" s="25"/>
      <c r="I10" s="14"/>
      <c r="J10" s="14"/>
    </row>
    <row r="11" spans="1:17">
      <c r="A11" s="6"/>
      <c r="B11" s="6"/>
      <c r="C11" s="6"/>
      <c r="D11" s="6"/>
      <c r="E11" s="6"/>
      <c r="G11" s="25"/>
      <c r="I11" s="14"/>
      <c r="J11" s="14"/>
    </row>
    <row r="12" spans="1:17">
      <c r="A12" s="6"/>
      <c r="B12" s="6"/>
      <c r="C12" s="6"/>
      <c r="D12" s="6"/>
      <c r="E12" s="6"/>
      <c r="G12" s="25"/>
      <c r="I12" s="14"/>
      <c r="J12" s="14"/>
    </row>
    <row r="13" spans="1:17">
      <c r="A13" s="6"/>
      <c r="B13" s="6"/>
      <c r="C13" s="6"/>
      <c r="D13" s="6"/>
      <c r="E13" s="6"/>
      <c r="G13" s="25"/>
      <c r="I13" s="14"/>
      <c r="J13" s="14"/>
    </row>
    <row r="14" spans="1:17">
      <c r="A14" s="6"/>
      <c r="B14" s="6"/>
      <c r="C14" s="6"/>
      <c r="D14" s="6"/>
      <c r="E14" s="6"/>
      <c r="G14" s="25"/>
      <c r="I14" s="14"/>
      <c r="J14" s="14"/>
    </row>
    <row r="15" spans="1:17">
      <c r="A15" s="6"/>
      <c r="B15" s="6"/>
      <c r="C15" s="6"/>
      <c r="D15" s="6"/>
      <c r="E15" s="6"/>
      <c r="G15" s="25"/>
      <c r="I15" s="14"/>
      <c r="J15" s="14"/>
    </row>
    <row r="16" spans="1:17">
      <c r="A16" s="6"/>
      <c r="B16" s="6"/>
      <c r="C16" s="6"/>
      <c r="D16" s="6"/>
      <c r="E16" s="6"/>
      <c r="G16" s="25"/>
      <c r="I16" s="14"/>
      <c r="J16" s="14"/>
    </row>
    <row r="17" spans="1:10">
      <c r="A17" s="6"/>
      <c r="B17" s="6"/>
      <c r="C17" s="6"/>
      <c r="D17" s="6"/>
      <c r="E17" s="6"/>
      <c r="G17" s="25"/>
      <c r="I17" s="14"/>
      <c r="J17" s="14"/>
    </row>
    <row r="18" spans="1:10">
      <c r="A18" s="6"/>
      <c r="B18" s="6"/>
      <c r="C18" s="6"/>
      <c r="D18" s="6"/>
      <c r="E18" s="6"/>
      <c r="G18" s="25"/>
      <c r="I18" s="14"/>
      <c r="J18" s="14"/>
    </row>
    <row r="19" spans="1:10">
      <c r="A19" s="6"/>
      <c r="B19" s="6"/>
      <c r="C19" s="6"/>
      <c r="D19" s="6"/>
      <c r="E19" s="6"/>
      <c r="G19" s="25"/>
      <c r="I19" s="14"/>
      <c r="J19" s="14"/>
    </row>
    <row r="20" spans="1:10">
      <c r="A20" s="6"/>
      <c r="B20" s="6"/>
      <c r="C20" s="6"/>
      <c r="D20" s="6"/>
      <c r="E20" s="6"/>
      <c r="G20" s="25"/>
      <c r="I20" s="14"/>
      <c r="J20" s="14"/>
    </row>
    <row r="21" spans="1:10">
      <c r="A21" s="6"/>
      <c r="B21" s="6"/>
      <c r="C21" s="6"/>
      <c r="D21" s="6"/>
      <c r="E21" s="6"/>
      <c r="G21" s="25"/>
      <c r="I21" s="14"/>
      <c r="J21" s="14"/>
    </row>
    <row r="22" spans="1:10">
      <c r="A22" s="6"/>
      <c r="B22" s="6"/>
      <c r="C22" s="6"/>
      <c r="D22" s="6"/>
      <c r="E22" s="6"/>
      <c r="G22" s="25"/>
      <c r="I22" s="14"/>
      <c r="J22" s="14"/>
    </row>
    <row r="23" spans="1:10">
      <c r="A23" s="6"/>
      <c r="B23" s="6"/>
      <c r="C23" s="6"/>
      <c r="D23" s="6"/>
      <c r="E23" s="6"/>
      <c r="G23" s="25"/>
      <c r="I23" s="14"/>
      <c r="J23" s="14"/>
    </row>
    <row r="24" spans="1:10">
      <c r="A24" s="6"/>
      <c r="B24" s="6"/>
      <c r="C24" s="6"/>
      <c r="D24" s="6"/>
      <c r="E24" s="6"/>
      <c r="G24" s="25"/>
      <c r="I24" s="14"/>
      <c r="J24" s="14"/>
    </row>
    <row r="25" spans="1:10">
      <c r="A25" s="6"/>
      <c r="B25" s="6"/>
      <c r="C25" s="6"/>
      <c r="D25" s="6"/>
      <c r="E25" s="6"/>
      <c r="G25" s="25"/>
      <c r="I25" s="14"/>
      <c r="J25" s="14"/>
    </row>
    <row r="26" spans="1:10">
      <c r="A26" s="6"/>
      <c r="B26" s="6"/>
      <c r="C26" s="6"/>
      <c r="D26" s="6"/>
      <c r="E26" s="6"/>
      <c r="G26" s="25"/>
      <c r="I26" s="14"/>
      <c r="J26" s="14"/>
    </row>
    <row r="27" spans="1:10">
      <c r="A27" s="6"/>
      <c r="B27" s="6"/>
      <c r="C27" s="6"/>
      <c r="D27" s="6"/>
      <c r="E27" s="6"/>
      <c r="G27" s="25"/>
      <c r="I27" s="14"/>
      <c r="J27" s="14"/>
    </row>
    <row r="28" spans="1:10">
      <c r="A28" s="6"/>
      <c r="B28" s="6"/>
      <c r="C28" s="6"/>
      <c r="D28" s="6"/>
      <c r="E28" s="6"/>
      <c r="G28" s="25"/>
    </row>
    <row r="29" spans="1:10">
      <c r="A29" s="6"/>
      <c r="B29" s="6"/>
      <c r="C29" s="6"/>
      <c r="D29" s="6"/>
      <c r="E29" s="6"/>
      <c r="G29" s="25"/>
    </row>
    <row r="30" spans="1:10">
      <c r="A30" s="6"/>
      <c r="B30" s="6"/>
      <c r="C30" s="6"/>
      <c r="D30" s="6"/>
      <c r="E30" s="6"/>
      <c r="G30" s="25"/>
    </row>
    <row r="31" spans="1:10">
      <c r="A31" s="6"/>
      <c r="B31" s="6"/>
      <c r="C31" s="6"/>
      <c r="D31" s="6"/>
      <c r="E31" s="6"/>
      <c r="G31" s="25"/>
    </row>
    <row r="32" spans="1:10">
      <c r="A32" s="6"/>
      <c r="B32" s="6"/>
      <c r="C32" s="6"/>
      <c r="D32" s="6"/>
      <c r="E32" s="6"/>
      <c r="G32" s="25"/>
    </row>
    <row r="33" spans="1:7">
      <c r="A33" s="6"/>
      <c r="B33" s="6"/>
      <c r="C33" s="6"/>
      <c r="D33" s="6"/>
      <c r="E33" s="6"/>
      <c r="G33" s="25"/>
    </row>
    <row r="34" spans="1:7">
      <c r="A34" s="6"/>
      <c r="B34" s="6"/>
      <c r="C34" s="6"/>
      <c r="D34" s="6"/>
      <c r="E34" s="6"/>
      <c r="G34" s="25"/>
    </row>
    <row r="35" spans="1:7">
      <c r="A35" s="6"/>
      <c r="B35" s="6"/>
      <c r="C35" s="6"/>
      <c r="D35" s="6"/>
      <c r="E35" s="6"/>
      <c r="G35" s="25"/>
    </row>
    <row r="36" spans="1:7">
      <c r="A36" s="6"/>
      <c r="B36" s="6"/>
      <c r="C36" s="6"/>
      <c r="D36" s="6"/>
      <c r="E36" s="6"/>
      <c r="G36" s="25"/>
    </row>
    <row r="37" spans="1:7">
      <c r="A37" s="6"/>
      <c r="B37" s="6"/>
      <c r="C37" s="6"/>
      <c r="D37" s="6"/>
      <c r="E37" s="6"/>
      <c r="G37" s="25"/>
    </row>
    <row r="38" spans="1:7">
      <c r="A38" s="6"/>
      <c r="B38" s="6"/>
      <c r="C38" s="6"/>
      <c r="D38" s="6"/>
      <c r="E38" s="6"/>
      <c r="G38" s="25"/>
    </row>
    <row r="39" spans="1:7">
      <c r="A39" s="6"/>
      <c r="B39" s="6"/>
      <c r="C39" s="6"/>
      <c r="D39" s="6"/>
      <c r="E39" s="6"/>
      <c r="G39" s="25"/>
    </row>
    <row r="40" spans="1:7">
      <c r="A40" s="6"/>
      <c r="B40" s="6"/>
      <c r="C40" s="6"/>
      <c r="D40" s="6"/>
      <c r="E40" s="6"/>
      <c r="G40" s="25"/>
    </row>
    <row r="41" spans="1:7">
      <c r="A41" s="6"/>
      <c r="B41" s="6"/>
      <c r="C41" s="6"/>
      <c r="D41" s="6"/>
      <c r="E41" s="6"/>
      <c r="G41" s="25"/>
    </row>
    <row r="42" spans="1:7">
      <c r="A42" s="6"/>
      <c r="B42" s="6"/>
      <c r="C42" s="6"/>
      <c r="D42" s="6"/>
      <c r="E42" s="6"/>
      <c r="G42" s="25"/>
    </row>
    <row r="43" spans="1:7">
      <c r="A43" s="6"/>
      <c r="B43" s="6"/>
      <c r="C43" s="6"/>
      <c r="D43" s="6"/>
      <c r="E43" s="6"/>
      <c r="G43" s="25"/>
    </row>
    <row r="44" spans="1:7">
      <c r="A44" s="6"/>
      <c r="B44" s="6"/>
      <c r="C44" s="6"/>
      <c r="D44" s="6"/>
      <c r="E44" s="6"/>
      <c r="G44" s="25"/>
    </row>
    <row r="45" spans="1:7">
      <c r="A45" s="12"/>
      <c r="B45" s="12"/>
      <c r="C45" s="12"/>
      <c r="D45" s="12"/>
      <c r="E45" s="12"/>
      <c r="G45" s="25"/>
    </row>
    <row r="46" spans="1:7">
      <c r="A46" s="12"/>
      <c r="B46" s="12"/>
      <c r="C46" s="12"/>
      <c r="D46" s="12"/>
      <c r="E46" s="12"/>
    </row>
    <row r="47" spans="1:7">
      <c r="A47" s="12"/>
      <c r="B47" s="12"/>
      <c r="C47" s="12"/>
      <c r="D47" s="12"/>
      <c r="E47" s="12"/>
    </row>
    <row r="48" spans="1:7">
      <c r="A48" s="12"/>
      <c r="B48" s="12"/>
      <c r="C48" s="12"/>
      <c r="D48" s="12"/>
      <c r="E48" s="12"/>
    </row>
    <row r="49" spans="1:5">
      <c r="A49" s="12"/>
      <c r="B49" s="12"/>
      <c r="C49" s="12"/>
      <c r="D49" s="12"/>
      <c r="E49" s="12"/>
    </row>
    <row r="50" spans="1:5">
      <c r="A50" s="12"/>
      <c r="B50" s="12"/>
      <c r="C50" s="12"/>
      <c r="D50" s="12"/>
      <c r="E50" s="12"/>
    </row>
    <row r="51" spans="1:5">
      <c r="A51" s="12"/>
      <c r="B51" s="12"/>
      <c r="C51" s="12"/>
      <c r="D51" s="12"/>
      <c r="E51" s="12"/>
    </row>
  </sheetData>
  <customSheetViews>
    <customSheetView guid="{1F94D349-39AA-4577-8915-6735D7B45D95}" showAutoFilter="1">
      <selection activeCell="D9" sqref="D9"/>
      <pageMargins left="0.7" right="0.7" top="0.75" bottom="0.75" header="0.3" footer="0.3"/>
      <autoFilter ref="A1:G1" xr:uid="{E62305EB-1858-4DAC-8174-EF30A64C68AF}"/>
    </customSheetView>
  </customSheetViews>
  <phoneticPr fontId="2"/>
  <conditionalFormatting sqref="D1">
    <cfRule type="containsText" dxfId="2" priority="36" operator="containsText" text="不足">
      <formula>NOT(ISERROR(SEARCH("不足",D1)))</formula>
    </cfRule>
    <cfRule type="containsText" dxfId="1" priority="37" operator="containsText" text="追加">
      <formula>NOT(ISERROR(SEARCH("追加",D1)))</formula>
    </cfRule>
  </conditionalFormatting>
  <dataValidations count="1">
    <dataValidation type="list" allowBlank="1" showInputMessage="1" showErrorMessage="1" sqref="I2:K50" xr:uid="{00000000-0002-0000-0300-000000000000}">
      <formula1>$Q$1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_xludf.filter">
                <anchor moveWithCells="1" sizeWithCells="1">
                  <from>
                    <xdr:col>6</xdr:col>
                    <xdr:colOff>28575</xdr:colOff>
                    <xdr:row>0</xdr:row>
                    <xdr:rowOff>9525</xdr:rowOff>
                  </from>
                  <to>
                    <xdr:col>6</xdr:col>
                    <xdr:colOff>676275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A117"/>
  <sheetViews>
    <sheetView topLeftCell="A19" workbookViewId="0">
      <selection activeCell="A26" sqref="A26"/>
    </sheetView>
  </sheetViews>
  <sheetFormatPr defaultRowHeight="18.75"/>
  <cols>
    <col min="1" max="1" width="33.75" bestFit="1" customWidth="1"/>
  </cols>
  <sheetData>
    <row r="1" spans="1:1">
      <c r="A1" t="s">
        <v>377</v>
      </c>
    </row>
    <row r="2" spans="1:1">
      <c r="A2" s="19" t="s">
        <v>288</v>
      </c>
    </row>
    <row r="3" spans="1:1">
      <c r="A3" s="19" t="s">
        <v>289</v>
      </c>
    </row>
    <row r="4" spans="1:1">
      <c r="A4" s="19" t="s">
        <v>384</v>
      </c>
    </row>
    <row r="5" spans="1:1">
      <c r="A5" s="19" t="s">
        <v>290</v>
      </c>
    </row>
    <row r="6" spans="1:1">
      <c r="A6" s="19" t="s">
        <v>280</v>
      </c>
    </row>
    <row r="7" spans="1:1">
      <c r="A7" s="19" t="s">
        <v>291</v>
      </c>
    </row>
    <row r="8" spans="1:1">
      <c r="A8" s="19" t="s">
        <v>292</v>
      </c>
    </row>
    <row r="9" spans="1:1">
      <c r="A9" s="19" t="s">
        <v>25</v>
      </c>
    </row>
    <row r="10" spans="1:1">
      <c r="A10" s="19" t="s">
        <v>293</v>
      </c>
    </row>
    <row r="11" spans="1:1">
      <c r="A11" s="19" t="s">
        <v>294</v>
      </c>
    </row>
    <row r="12" spans="1:1">
      <c r="A12" s="19" t="s">
        <v>295</v>
      </c>
    </row>
    <row r="13" spans="1:1">
      <c r="A13" s="19" t="s">
        <v>296</v>
      </c>
    </row>
    <row r="14" spans="1:1">
      <c r="A14" s="19" t="s">
        <v>297</v>
      </c>
    </row>
    <row r="15" spans="1:1">
      <c r="A15" s="19" t="s">
        <v>298</v>
      </c>
    </row>
    <row r="16" spans="1:1">
      <c r="A16" s="19" t="s">
        <v>299</v>
      </c>
    </row>
    <row r="17" spans="1:1">
      <c r="A17" s="19" t="s">
        <v>300</v>
      </c>
    </row>
    <row r="18" spans="1:1">
      <c r="A18" s="19" t="s">
        <v>378</v>
      </c>
    </row>
    <row r="19" spans="1:1">
      <c r="A19" s="19" t="s">
        <v>301</v>
      </c>
    </row>
    <row r="20" spans="1:1">
      <c r="A20" s="19" t="s">
        <v>302</v>
      </c>
    </row>
    <row r="21" spans="1:1">
      <c r="A21" s="19" t="s">
        <v>303</v>
      </c>
    </row>
    <row r="22" spans="1:1">
      <c r="A22" s="19" t="s">
        <v>79</v>
      </c>
    </row>
    <row r="23" spans="1:1">
      <c r="A23" s="19" t="s">
        <v>304</v>
      </c>
    </row>
    <row r="24" spans="1:1">
      <c r="A24" s="19" t="s">
        <v>305</v>
      </c>
    </row>
    <row r="25" spans="1:1">
      <c r="A25" s="19" t="s">
        <v>306</v>
      </c>
    </row>
    <row r="26" spans="1:1">
      <c r="A26" s="19" t="s">
        <v>307</v>
      </c>
    </row>
    <row r="27" spans="1:1">
      <c r="A27" s="19" t="s">
        <v>233</v>
      </c>
    </row>
    <row r="28" spans="1:1">
      <c r="A28" s="19" t="s">
        <v>308</v>
      </c>
    </row>
    <row r="29" spans="1:1">
      <c r="A29" s="19" t="s">
        <v>309</v>
      </c>
    </row>
    <row r="30" spans="1:1">
      <c r="A30" s="19" t="s">
        <v>310</v>
      </c>
    </row>
    <row r="31" spans="1:1">
      <c r="A31" s="19" t="s">
        <v>383</v>
      </c>
    </row>
    <row r="32" spans="1:1">
      <c r="A32" s="19" t="s">
        <v>311</v>
      </c>
    </row>
    <row r="33" spans="1:1">
      <c r="A33" s="19" t="s">
        <v>312</v>
      </c>
    </row>
    <row r="34" spans="1:1">
      <c r="A34" s="19" t="s">
        <v>313</v>
      </c>
    </row>
    <row r="35" spans="1:1">
      <c r="A35" s="19" t="s">
        <v>255</v>
      </c>
    </row>
    <row r="36" spans="1:1">
      <c r="A36" s="19" t="s">
        <v>314</v>
      </c>
    </row>
    <row r="37" spans="1:1">
      <c r="A37" s="19" t="s">
        <v>315</v>
      </c>
    </row>
    <row r="38" spans="1:1">
      <c r="A38" s="19" t="s">
        <v>316</v>
      </c>
    </row>
    <row r="39" spans="1:1">
      <c r="A39" s="19" t="s">
        <v>50</v>
      </c>
    </row>
    <row r="40" spans="1:1">
      <c r="A40" s="19" t="s">
        <v>317</v>
      </c>
    </row>
    <row r="41" spans="1:1">
      <c r="A41" s="19" t="s">
        <v>318</v>
      </c>
    </row>
    <row r="42" spans="1:1">
      <c r="A42" s="19" t="s">
        <v>319</v>
      </c>
    </row>
    <row r="43" spans="1:1">
      <c r="A43" s="19" t="s">
        <v>320</v>
      </c>
    </row>
    <row r="44" spans="1:1">
      <c r="A44" s="19" t="s">
        <v>321</v>
      </c>
    </row>
    <row r="45" spans="1:1">
      <c r="A45" s="19" t="s">
        <v>322</v>
      </c>
    </row>
    <row r="46" spans="1:1">
      <c r="A46" s="19" t="s">
        <v>323</v>
      </c>
    </row>
    <row r="47" spans="1:1">
      <c r="A47" s="19" t="s">
        <v>108</v>
      </c>
    </row>
    <row r="48" spans="1:1">
      <c r="A48" s="19" t="s">
        <v>324</v>
      </c>
    </row>
    <row r="49" spans="1:1">
      <c r="A49" s="19" t="s">
        <v>325</v>
      </c>
    </row>
    <row r="50" spans="1:1">
      <c r="A50" s="19" t="s">
        <v>326</v>
      </c>
    </row>
    <row r="51" spans="1:1">
      <c r="A51" s="19" t="s">
        <v>327</v>
      </c>
    </row>
    <row r="52" spans="1:1">
      <c r="A52" s="19" t="s">
        <v>286</v>
      </c>
    </row>
    <row r="53" spans="1:1">
      <c r="A53" s="19" t="s">
        <v>328</v>
      </c>
    </row>
    <row r="54" spans="1:1">
      <c r="A54" s="19" t="s">
        <v>329</v>
      </c>
    </row>
    <row r="55" spans="1:1">
      <c r="A55" s="19" t="s">
        <v>330</v>
      </c>
    </row>
    <row r="56" spans="1:1">
      <c r="A56" s="19" t="s">
        <v>331</v>
      </c>
    </row>
    <row r="57" spans="1:1">
      <c r="A57" s="19" t="s">
        <v>332</v>
      </c>
    </row>
    <row r="58" spans="1:1">
      <c r="A58" s="19" t="s">
        <v>333</v>
      </c>
    </row>
    <row r="59" spans="1:1">
      <c r="A59" s="19" t="s">
        <v>284</v>
      </c>
    </row>
    <row r="60" spans="1:1">
      <c r="A60" s="19" t="s">
        <v>334</v>
      </c>
    </row>
    <row r="61" spans="1:1">
      <c r="A61" s="19" t="s">
        <v>335</v>
      </c>
    </row>
    <row r="62" spans="1:1">
      <c r="A62" s="19" t="s">
        <v>336</v>
      </c>
    </row>
    <row r="63" spans="1:1">
      <c r="A63" s="19" t="s">
        <v>337</v>
      </c>
    </row>
    <row r="64" spans="1:1">
      <c r="A64" s="19" t="s">
        <v>338</v>
      </c>
    </row>
    <row r="65" spans="1:1">
      <c r="A65" s="19" t="s">
        <v>339</v>
      </c>
    </row>
    <row r="66" spans="1:1">
      <c r="A66" s="19" t="s">
        <v>340</v>
      </c>
    </row>
    <row r="67" spans="1:1">
      <c r="A67" s="19" t="s">
        <v>341</v>
      </c>
    </row>
    <row r="68" spans="1:1">
      <c r="A68" s="19" t="s">
        <v>342</v>
      </c>
    </row>
    <row r="69" spans="1:1">
      <c r="A69" s="19" t="s">
        <v>343</v>
      </c>
    </row>
    <row r="70" spans="1:1">
      <c r="A70" s="19" t="s">
        <v>344</v>
      </c>
    </row>
    <row r="71" spans="1:1">
      <c r="A71" s="19" t="s">
        <v>382</v>
      </c>
    </row>
    <row r="72" spans="1:1">
      <c r="A72" s="19" t="s">
        <v>345</v>
      </c>
    </row>
    <row r="73" spans="1:1">
      <c r="A73" s="19" t="s">
        <v>222</v>
      </c>
    </row>
    <row r="74" spans="1:1">
      <c r="A74" s="19" t="s">
        <v>346</v>
      </c>
    </row>
    <row r="75" spans="1:1">
      <c r="A75" s="19" t="s">
        <v>381</v>
      </c>
    </row>
    <row r="76" spans="1:1">
      <c r="A76" s="19" t="s">
        <v>347</v>
      </c>
    </row>
    <row r="77" spans="1:1">
      <c r="A77" s="19" t="s">
        <v>348</v>
      </c>
    </row>
    <row r="78" spans="1:1">
      <c r="A78" s="19" t="s">
        <v>349</v>
      </c>
    </row>
    <row r="79" spans="1:1">
      <c r="A79" s="19" t="s">
        <v>350</v>
      </c>
    </row>
    <row r="80" spans="1:1">
      <c r="A80" s="19" t="s">
        <v>181</v>
      </c>
    </row>
    <row r="81" spans="1:1">
      <c r="A81" s="19" t="s">
        <v>351</v>
      </c>
    </row>
    <row r="82" spans="1:1">
      <c r="A82" s="19" t="s">
        <v>67</v>
      </c>
    </row>
    <row r="83" spans="1:1">
      <c r="A83" s="19" t="s">
        <v>189</v>
      </c>
    </row>
    <row r="84" spans="1:1">
      <c r="A84" s="19" t="s">
        <v>352</v>
      </c>
    </row>
    <row r="85" spans="1:1">
      <c r="A85" s="19" t="s">
        <v>353</v>
      </c>
    </row>
    <row r="86" spans="1:1">
      <c r="A86" s="19" t="s">
        <v>354</v>
      </c>
    </row>
    <row r="87" spans="1:1">
      <c r="A87" s="19" t="s">
        <v>355</v>
      </c>
    </row>
    <row r="88" spans="1:1">
      <c r="A88" s="19" t="s">
        <v>356</v>
      </c>
    </row>
    <row r="89" spans="1:1">
      <c r="A89" s="19" t="s">
        <v>357</v>
      </c>
    </row>
    <row r="90" spans="1:1">
      <c r="A90" s="20" t="s">
        <v>283</v>
      </c>
    </row>
    <row r="91" spans="1:1">
      <c r="A91" s="20" t="s">
        <v>49</v>
      </c>
    </row>
    <row r="92" spans="1:1">
      <c r="A92" s="20" t="s">
        <v>358</v>
      </c>
    </row>
    <row r="93" spans="1:1">
      <c r="A93" s="20" t="s">
        <v>359</v>
      </c>
    </row>
    <row r="94" spans="1:1">
      <c r="A94" s="20" t="s">
        <v>360</v>
      </c>
    </row>
    <row r="95" spans="1:1">
      <c r="A95" s="20" t="s">
        <v>361</v>
      </c>
    </row>
    <row r="96" spans="1:1">
      <c r="A96" s="20" t="s">
        <v>362</v>
      </c>
    </row>
    <row r="97" spans="1:1">
      <c r="A97" s="20" t="s">
        <v>363</v>
      </c>
    </row>
    <row r="98" spans="1:1">
      <c r="A98" s="20" t="s">
        <v>364</v>
      </c>
    </row>
    <row r="99" spans="1:1">
      <c r="A99" s="20" t="s">
        <v>365</v>
      </c>
    </row>
    <row r="100" spans="1:1">
      <c r="A100" s="20" t="s">
        <v>287</v>
      </c>
    </row>
    <row r="101" spans="1:1">
      <c r="A101" s="20" t="s">
        <v>366</v>
      </c>
    </row>
    <row r="102" spans="1:1">
      <c r="A102" s="20" t="s">
        <v>367</v>
      </c>
    </row>
    <row r="103" spans="1:1">
      <c r="A103" s="20" t="s">
        <v>368</v>
      </c>
    </row>
    <row r="104" spans="1:1">
      <c r="A104" s="20" t="s">
        <v>369</v>
      </c>
    </row>
    <row r="105" spans="1:1">
      <c r="A105" s="20" t="s">
        <v>370</v>
      </c>
    </row>
    <row r="106" spans="1:1">
      <c r="A106" s="20" t="s">
        <v>371</v>
      </c>
    </row>
    <row r="107" spans="1:1">
      <c r="A107" s="20" t="s">
        <v>372</v>
      </c>
    </row>
    <row r="108" spans="1:1">
      <c r="A108" s="20" t="s">
        <v>48</v>
      </c>
    </row>
    <row r="109" spans="1:1">
      <c r="A109" s="20" t="s">
        <v>213</v>
      </c>
    </row>
    <row r="110" spans="1:1">
      <c r="A110" s="20" t="s">
        <v>34</v>
      </c>
    </row>
    <row r="111" spans="1:1">
      <c r="A111" s="20" t="s">
        <v>380</v>
      </c>
    </row>
    <row r="112" spans="1:1">
      <c r="A112" s="20" t="s">
        <v>285</v>
      </c>
    </row>
    <row r="113" spans="1:1">
      <c r="A113" s="20" t="s">
        <v>373</v>
      </c>
    </row>
    <row r="114" spans="1:1">
      <c r="A114" s="20" t="s">
        <v>374</v>
      </c>
    </row>
    <row r="115" spans="1:1">
      <c r="A115" s="20" t="s">
        <v>375</v>
      </c>
    </row>
    <row r="116" spans="1:1">
      <c r="A116" s="20" t="s">
        <v>376</v>
      </c>
    </row>
    <row r="117" spans="1:1">
      <c r="A117" s="20" t="s">
        <v>379</v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7</vt:i4>
      </vt:variant>
    </vt:vector>
  </HeadingPairs>
  <TitlesOfParts>
    <vt:vector size="13" baseType="lpstr">
      <vt:lpstr>振り分け用</vt:lpstr>
      <vt:lpstr>色付けビルダーリスト</vt:lpstr>
      <vt:lpstr>Sheet2</vt:lpstr>
      <vt:lpstr>データベース</vt:lpstr>
      <vt:lpstr>未アップ記録</vt:lpstr>
      <vt:lpstr>Sheet1</vt:lpstr>
      <vt:lpstr>Sheet2!AllItems.aspx?slrid_212f689e_2Dd05c_2D5000_2Dd99e_2Dc01b3ab39bd9_RootFolder__2Fsites_2Fnsk_2FDocLib4_2F_E3_82_BF_E3_83_9E_E3_83_9B_E3_83_BC_E3_83_A0_2F74674_20_E9_AB_99_E6_A9_8B_20_E7_AB_A0_E5_8F_8B</vt:lpstr>
      <vt:lpstr>Sheet2!AllItems.aspx?slrid_212f689e_2Dd05c_2D5000_2Dd99e_2Dc01b3ab39bd9_RootFolder__2Fsites_2Fnsk_2FDocLib4_2F_E3_82_BF_E3_83_9E_E3_83_9B_E3_83_BC_E3_83_A0_2F74674_20_E9_AB_99_E6_A9_8B_20_E7_AB_A0_E5_8F_8B_4</vt:lpstr>
      <vt:lpstr>Sheet2!AllItems.aspx?slrid_212f689e_2Dd05c_2D5000_2Dd99e_2Dc01b3ab39bd9_RootFolder__2Fsites_2Fnsk_2FDocLib4_2F_E3_82_BF_E3_83_9E_E3_83_9B_E3_83_BC_E3_83_A0_2F74674_20_E9_AB_99_E6_A9_8B_20_E7_AB_A0_E5_8F_8B_5</vt:lpstr>
      <vt:lpstr>Sheet2!AllItems.aspx?slrid_212f689e_2Dd05c_2D5000_2Dd99e_2Dc01b3ab39bd9_RootFolder__2Fsites_2Fnsk_2FDocLib4_2F_E3_82_BF_E3_83_9E_E3_83_9B_E3_83_BC_E3_83_A0_2F74674_20_E9_AB_99_E6_A9_8B_20_E7_AB_A0_E5_8F_8B_6</vt:lpstr>
      <vt:lpstr>Sheet2!AllItems.aspx?slrid_212f689e_2Dd05c_2D5000_2Dd99e_2Dc01b3ab39bd9_RootFolder__2Fsites_2Fnsk_2FDocLib4_2F_E3_82_BF_E3_83_9E_E3_83_9B_E3_83_BC_E3_83_A0_2F74674_20_E9_AB_99_E6_A9_8B_20_E7_AB_A0_E5_8F_8B_7</vt:lpstr>
      <vt:lpstr>Sheet2!AllItems.aspx?slrid_212f689e_2Dd05c_2D5000_2Dd99e_2Dc01b3ab39bd9_RootFolder__2Fsites_2Fnsk_2FDocLib4_2F_E3_82_BF_E3_83_9E_E3_83_9B_E3_83_BC_E3_83_A0_2F74674_20_E9_AB_99_E6_A9_8B_20_E7_AB_A0_E5_8F_8B_8</vt:lpstr>
      <vt:lpstr>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チルマレ</dc:creator>
  <cp:lastModifiedBy>ベトナム事務所③</cp:lastModifiedBy>
  <cp:lastPrinted>2022-07-15T07:41:38Z</cp:lastPrinted>
  <dcterms:created xsi:type="dcterms:W3CDTF">2015-06-05T18:19:34Z</dcterms:created>
  <dcterms:modified xsi:type="dcterms:W3CDTF">2024-06-07T04:24:15Z</dcterms:modified>
</cp:coreProperties>
</file>